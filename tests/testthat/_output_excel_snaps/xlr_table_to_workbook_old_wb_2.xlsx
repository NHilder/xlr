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of Contents" sheetId="5" state="visible" r:id="rId5"/>
    <sheet name="Test sheet" sheetId="1" state="visible" r:id="rId1"/>
    <sheet name="Test 1 - no footnote title" sheetId="2" state="visible" r:id="rId2"/>
    <sheet name="Test 2 - no Footnote" sheetId="3" state="visible" r:id="rId3"/>
    <sheet name="Test 3 - all" sheetId="4" state="visible" r:id="rId4"/>
  </sheets>
</workbook>
</file>

<file path=xl/sharedStrings.xml><?xml version="1.0" encoding="utf-8"?>
<sst xmlns="http://schemas.openxmlformats.org/spreadsheetml/2006/main" count="15" uniqueCount="15">
  <si>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</si>
  <si>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</si>
  <si>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</si>
  <si>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</si>
  <si>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</si>
  <si>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</si>
  <si>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</si>
  <si>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</si>
  <si>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</si>
  <si>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</si>
  <si>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</si>
  <si>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title 1</t>
  </si>
  <si>
    <t xml:space="preserve">footnote</t>
  </si>
  <si>
    <t xml:space="preserve">Test title</t>
  </si>
  <si>
    <t xml:space="preserve">Test footnote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</si>
</sst>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165" formatCode="0.00"/>
    <numFmt numFmtId="174" formatCode="0.00"/>
    <numFmt numFmtId="175" formatCode="0.00"/>
    <numFmt numFmtId="166" formatCode="0.00"/>
    <numFmt numFmtId="167" formatCode="0.00"/>
    <numFmt numFmtId="168" formatCode="0.00"/>
    <numFmt numFmtId="169" formatCode="0.00"/>
    <numFmt numFmtId="170" formatCode="0.00"/>
    <numFmt numFmtId="171" formatCode="0.00"/>
    <numFmt numFmtId="172" formatCode="0.00"/>
    <numFmt numFmtId="173" formatCode="0.00"/>
    <numFmt numFmtId="176" formatCode="0.00"/>
    <numFmt numFmtId="177" formatCode="0.00"/>
    <numFmt numFmtId="178" formatCode="0.00"/>
    <numFmt numFmtId="179" formatCode="0.00"/>
    <numFmt numFmtId="180" formatCode="0.00"/>
    <numFmt numFmtId="181" formatCode="0.00"/>
    <numFmt numFmtId="182" formatCode="0.00"/>
    <numFmt numFmtId="183" formatCode="0.00"/>
    <numFmt numFmtId="184" formatCode="0.00"/>
    <numFmt numFmtId="185" formatCode="0.00"/>
    <numFmt numFmtId="186" formatCode="0.00"/>
    <numFmt numFmtId="187" formatCode="0.00"/>
    <numFmt numFmtId="188" formatCode="0.00"/>
    <numFmt numFmtId="189" formatCode="0.00"/>
    <numFmt numFmtId="190" formatCode="0.00"/>
    <numFmt numFmtId="191" formatCode="0.00"/>
    <numFmt numFmtId="192" formatCode="0.00"/>
    <numFmt numFmtId="193" formatCode="0.00"/>
    <numFmt numFmtId="194" formatCode="0.00"/>
    <numFmt numFmtId="195" formatCode="0.00"/>
    <numFmt numFmtId="196" formatCode="0.00"/>
    <numFmt numFmtId="197" formatCode="0.00"/>
    <numFmt numFmtId="198" formatCode="0.00"/>
    <numFmt numFmtId="199" formatCode="0.00"/>
    <numFmt numFmtId="200" formatCode="0.00"/>
    <numFmt numFmtId="201" formatCode="0.00"/>
    <numFmt numFmtId="202" formatCode="0.00"/>
    <numFmt numFmtId="203" formatCode="0.00"/>
    <numFmt numFmtId="204" formatCode="0.00"/>
    <numFmt numFmtId="205" formatCode="0.00"/>
    <numFmt numFmtId="206" formatCode="0.00"/>
    <numFmt numFmtId="207" formatCode="0.00"/>
    <numFmt numFmtId="208" formatCode="0.00"/>
  </numFmts>
  <fonts count="8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b/>
    </font>
    <font>
      <sz val="9"/>
      <color rgb="FF000000"/>
      <name val="calibri"/>
      <i/>
    </font>
    <font>
      <sz val="11"/>
      <color rgb="FF000000"/>
      <name val="calibri"/>
      <b/>
    </font>
    <font>
      <sz val="11"/>
      <color rgb="FF0000FF"/>
      <name val="calibri"/>
      <i/>
      <u val="single"/>
    </font>
    <font>
      <sz val="14"/>
      <color rgb="FF000000"/>
      <name val="calibri"/>
      <b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0">
    <xf numFmtId="0" fontId="0" fillId="0" borderId="0" xfId="0"/>
    <xf numFmtId="165" fontId="1" fillId="0" borderId="0" xfId="0" applyFont="1" applyNumberFormat="1" applyAlignment="1">
      <alignment horizontal="left" vertical="top"/>
    </xf>
    <xf numFmtId="174" fontId="1" fillId="0" borderId="0" xfId="0" applyFont="1" applyNumberFormat="1" applyAlignment="1">
      <alignment horizontal="left" vertical="top"/>
    </xf>
    <xf numFmtId="175" fontId="1" fillId="0" borderId="0" xfId="0" applyFont="1" applyNumberFormat="1" applyAlignment="1">
      <alignment horizontal="left" vertical="top"/>
    </xf>
    <xf numFmtId="49" fontId="2" fillId="0" borderId="0" xfId="0" applyFont="1" applyNumberFormat="1" applyAlignment="1">
      <alignment horizontal="left" vertical="top"/>
    </xf>
    <xf numFmtId="49" fontId="3" fillId="0" borderId="0" xfId="0" applyFont="1" applyNumberFormat="1" applyAlignment="1">
      <alignment horizontal="left" vertical="top"/>
    </xf>
    <xf numFmtId="165" fontId="1" fillId="0" borderId="1" xfId="0" applyFont="1" applyNumberFormat="1" applyBorder="1" applyAlignment="1">
      <alignment horizontal="left" vertical="top"/>
    </xf>
    <xf numFmtId="166" fontId="1" fillId="0" borderId="1" xfId="0" applyFont="1" applyNumberFormat="1" applyBorder="1" applyAlignment="1">
      <alignment horizontal="left" vertical="top"/>
    </xf>
    <xf numFmtId="167" fontId="1" fillId="0" borderId="1" xfId="0" applyFont="1" applyNumberFormat="1" applyBorder="1" applyAlignment="1">
      <alignment horizontal="left" vertical="top"/>
    </xf>
    <xf numFmtId="168" fontId="1" fillId="0" borderId="1" xfId="0" applyFont="1" applyNumberFormat="1" applyBorder="1" applyAlignment="1">
      <alignment horizontal="left" vertical="top"/>
    </xf>
    <xf numFmtId="169" fontId="1" fillId="0" borderId="1" xfId="0" applyFont="1" applyNumberFormat="1" applyBorder="1" applyAlignment="1">
      <alignment horizontal="left" vertical="top"/>
    </xf>
    <xf numFmtId="170" fontId="1" fillId="0" borderId="1" xfId="0" applyFont="1" applyNumberFormat="1" applyBorder="1" applyAlignment="1">
      <alignment horizontal="left" vertical="top"/>
    </xf>
    <xf numFmtId="166" fontId="1" fillId="0" borderId="0" xfId="0" applyFont="1" applyNumberFormat="1" applyAlignment="1">
      <alignment horizontal="left" vertical="top"/>
    </xf>
    <xf numFmtId="171" fontId="1" fillId="0" borderId="1" xfId="0" applyFont="1" applyNumberFormat="1" applyBorder="1" applyAlignment="1">
      <alignment horizontal="left" vertical="top"/>
    </xf>
    <xf numFmtId="172" fontId="1" fillId="0" borderId="1" xfId="0" applyFont="1" applyNumberFormat="1" applyBorder="1" applyAlignment="1">
      <alignment horizontal="left" vertical="top"/>
    </xf>
    <xf numFmtId="173" fontId="1" fillId="0" borderId="1" xfId="0" applyFont="1" applyNumberFormat="1" applyBorder="1" applyAlignment="1">
      <alignment horizontal="left" vertical="top"/>
    </xf>
    <xf numFmtId="174" fontId="1" fillId="0" borderId="1" xfId="0" applyFont="1" applyNumberFormat="1" applyBorder="1" applyAlignment="1">
      <alignment horizontal="left" vertical="top"/>
    </xf>
    <xf numFmtId="175" fontId="1" fillId="0" borderId="1" xfId="0" applyFont="1" applyNumberFormat="1" applyBorder="1" applyAlignment="1">
      <alignment horizontal="left" vertical="top"/>
    </xf>
    <xf numFmtId="165" fontId="1" fillId="0" borderId="2" xfId="0" applyFont="1" applyNumberFormat="1" applyBorder="1" applyAlignment="1">
      <alignment horizontal="left" vertical="top"/>
    </xf>
    <xf numFmtId="166" fontId="1" fillId="0" borderId="2" xfId="0" applyFont="1" applyNumberFormat="1" applyBorder="1" applyAlignment="1">
      <alignment horizontal="left" vertical="top"/>
    </xf>
    <xf numFmtId="167" fontId="1" fillId="0" borderId="2" xfId="0" applyFont="1" applyNumberFormat="1" applyBorder="1" applyAlignment="1">
      <alignment horizontal="left" vertical="top"/>
    </xf>
    <xf numFmtId="168" fontId="1" fillId="0" borderId="2" xfId="0" applyFont="1" applyNumberFormat="1" applyBorder="1" applyAlignment="1">
      <alignment horizontal="left" vertical="top"/>
    </xf>
    <xf numFmtId="169" fontId="1" fillId="0" borderId="2" xfId="0" applyFont="1" applyNumberFormat="1" applyBorder="1" applyAlignment="1">
      <alignment horizontal="left" vertical="top"/>
    </xf>
    <xf numFmtId="167" fontId="1" fillId="0" borderId="0" xfId="0" applyFont="1" applyNumberFormat="1" applyAlignment="1">
      <alignment horizontal="left" vertical="top"/>
    </xf>
    <xf numFmtId="170" fontId="1" fillId="0" borderId="2" xfId="0" applyFont="1" applyNumberFormat="1" applyBorder="1" applyAlignment="1">
      <alignment horizontal="left" vertical="top"/>
    </xf>
    <xf numFmtId="171" fontId="1" fillId="0" borderId="2" xfId="0" applyFont="1" applyNumberFormat="1" applyBorder="1" applyAlignment="1">
      <alignment horizontal="left" vertical="top"/>
    </xf>
    <xf numFmtId="172" fontId="1" fillId="0" borderId="2" xfId="0" applyFont="1" applyNumberFormat="1" applyBorder="1" applyAlignment="1">
      <alignment horizontal="left" vertical="top"/>
    </xf>
    <xf numFmtId="173" fontId="1" fillId="0" borderId="2" xfId="0" applyFont="1" applyNumberFormat="1" applyBorder="1" applyAlignment="1">
      <alignment horizontal="left" vertical="top"/>
    </xf>
    <xf numFmtId="174" fontId="1" fillId="0" borderId="2" xfId="0" applyFont="1" applyNumberFormat="1" applyBorder="1" applyAlignment="1">
      <alignment horizontal="left" vertical="top"/>
    </xf>
    <xf numFmtId="175" fontId="1" fillId="0" borderId="2" xfId="0" applyFont="1" applyNumberFormat="1" applyBorder="1" applyAlignment="1">
      <alignment horizontal="left" vertical="top"/>
    </xf>
    <xf numFmtId="49" fontId="4" fillId="2" borderId="3" xfId="0" applyFont="1" applyNumberFormat="1" applyFill="1" applyBorder="1" applyAlignment="1">
      <alignment horizontal="center" vertical="top" wrapText="1"/>
    </xf>
    <xf numFmtId="168" fontId="1" fillId="0" borderId="0" xfId="0" applyFont="1" applyNumberFormat="1" applyAlignment="1">
      <alignment horizontal="left" vertical="top"/>
    </xf>
    <xf numFmtId="169" fontId="1" fillId="0" borderId="0" xfId="0" applyFont="1" applyNumberFormat="1" applyAlignment="1">
      <alignment horizontal="left" vertical="top"/>
    </xf>
    <xf numFmtId="170" fontId="1" fillId="0" borderId="0" xfId="0" applyFont="1" applyNumberFormat="1" applyAlignment="1">
      <alignment horizontal="left" vertical="top"/>
    </xf>
    <xf numFmtId="171" fontId="1" fillId="0" borderId="0" xfId="0" applyFont="1" applyNumberFormat="1" applyAlignment="1">
      <alignment horizontal="left" vertical="top"/>
    </xf>
    <xf numFmtId="172" fontId="1" fillId="0" borderId="0" xfId="0" applyFont="1" applyNumberFormat="1" applyAlignment="1">
      <alignment horizontal="left" vertical="top"/>
    </xf>
    <xf numFmtId="173" fontId="1" fillId="0" borderId="0" xfId="0" applyFont="1" applyNumberFormat="1" applyAlignment="1">
      <alignment horizontal="left" vertical="top"/>
    </xf>
    <xf numFmtId="49" fontId="5" fillId="0" borderId="0" xfId="0" applyFont="1" applyNumberFormat="1" applyAlignment="1">
      <alignment horizontal="left" vertical="top"/>
    </xf>
    <xf numFmtId="49" fontId="6" fillId="0" borderId="0" xfId="0" applyFont="1" applyNumberFormat="1" applyAlignment="1">
      <alignment horizontal="left" vertical="top"/>
    </xf>
    <xf numFmtId="0" fontId="7" fillId="0" borderId="0" xfId="0" applyFont="1"/>
    <xf numFmtId="176" fontId="1" fillId="0" borderId="0" xfId="0" applyFont="1" applyNumberFormat="1" applyAlignment="1">
      <alignment horizontal="left" vertical="top"/>
    </xf>
    <xf numFmtId="177" fontId="1" fillId="0" borderId="0" xfId="0" applyFont="1" applyNumberFormat="1" applyAlignment="1">
      <alignment horizontal="left" vertical="top"/>
    </xf>
    <xf numFmtId="178" fontId="1" fillId="0" borderId="0" xfId="0" applyFont="1" applyNumberFormat="1" applyAlignment="1">
      <alignment horizontal="left" vertical="top"/>
    </xf>
    <xf numFmtId="179" fontId="1" fillId="0" borderId="0" xfId="0" applyFont="1" applyNumberFormat="1" applyAlignment="1">
      <alignment horizontal="left" vertical="top"/>
    </xf>
    <xf numFmtId="180" fontId="1" fillId="0" borderId="0" xfId="0" applyFont="1" applyNumberFormat="1" applyAlignment="1">
      <alignment horizontal="left" vertical="top"/>
    </xf>
    <xf numFmtId="181" fontId="1" fillId="0" borderId="0" xfId="0" applyFont="1" applyNumberFormat="1" applyAlignment="1">
      <alignment horizontal="left" vertical="top"/>
    </xf>
    <xf numFmtId="182" fontId="1" fillId="0" borderId="0" xfId="0" applyFont="1" applyNumberFormat="1" applyAlignment="1">
      <alignment horizontal="left" vertical="top"/>
    </xf>
    <xf numFmtId="183" fontId="1" fillId="0" borderId="0" xfId="0" applyFont="1" applyNumberFormat="1" applyAlignment="1">
      <alignment horizontal="left" vertical="top"/>
    </xf>
    <xf numFmtId="184" fontId="1" fillId="0" borderId="0" xfId="0" applyFont="1" applyNumberFormat="1" applyAlignment="1">
      <alignment horizontal="left" vertical="top"/>
    </xf>
    <xf numFmtId="185" fontId="1" fillId="0" borderId="0" xfId="0" applyFont="1" applyNumberFormat="1" applyAlignment="1">
      <alignment horizontal="left" vertical="top"/>
    </xf>
    <xf numFmtId="186" fontId="1" fillId="0" borderId="0" xfId="0" applyFont="1" applyNumberFormat="1" applyAlignment="1">
      <alignment horizontal="left" vertical="top"/>
    </xf>
    <xf numFmtId="176" fontId="1" fillId="0" borderId="1" xfId="0" applyFont="1" applyNumberFormat="1" applyBorder="1" applyAlignment="1">
      <alignment horizontal="left" vertical="top"/>
    </xf>
    <xf numFmtId="177" fontId="1" fillId="0" borderId="1" xfId="0" applyFont="1" applyNumberFormat="1" applyBorder="1" applyAlignment="1">
      <alignment horizontal="left" vertical="top"/>
    </xf>
    <xf numFmtId="178" fontId="1" fillId="0" borderId="1" xfId="0" applyFont="1" applyNumberFormat="1" applyBorder="1" applyAlignment="1">
      <alignment horizontal="left" vertical="top"/>
    </xf>
    <xf numFmtId="179" fontId="1" fillId="0" borderId="1" xfId="0" applyFont="1" applyNumberFormat="1" applyBorder="1" applyAlignment="1">
      <alignment horizontal="left" vertical="top"/>
    </xf>
    <xf numFmtId="180" fontId="1" fillId="0" borderId="1" xfId="0" applyFont="1" applyNumberFormat="1" applyBorder="1" applyAlignment="1">
      <alignment horizontal="left" vertical="top"/>
    </xf>
    <xf numFmtId="181" fontId="1" fillId="0" borderId="1" xfId="0" applyFont="1" applyNumberFormat="1" applyBorder="1" applyAlignment="1">
      <alignment horizontal="left" vertical="top"/>
    </xf>
    <xf numFmtId="182" fontId="1" fillId="0" borderId="1" xfId="0" applyFont="1" applyNumberFormat="1" applyBorder="1" applyAlignment="1">
      <alignment horizontal="left" vertical="top"/>
    </xf>
    <xf numFmtId="183" fontId="1" fillId="0" borderId="1" xfId="0" applyFont="1" applyNumberFormat="1" applyBorder="1" applyAlignment="1">
      <alignment horizontal="left" vertical="top"/>
    </xf>
    <xf numFmtId="184" fontId="1" fillId="0" borderId="1" xfId="0" applyFont="1" applyNumberFormat="1" applyBorder="1" applyAlignment="1">
      <alignment horizontal="left" vertical="top"/>
    </xf>
    <xf numFmtId="185" fontId="1" fillId="0" borderId="1" xfId="0" applyFont="1" applyNumberFormat="1" applyBorder="1" applyAlignment="1">
      <alignment horizontal="left" vertical="top"/>
    </xf>
    <xf numFmtId="186" fontId="1" fillId="0" borderId="1" xfId="0" applyFont="1" applyNumberFormat="1" applyBorder="1" applyAlignment="1">
      <alignment horizontal="left" vertical="top"/>
    </xf>
    <xf numFmtId="176" fontId="1" fillId="0" borderId="2" xfId="0" applyFont="1" applyNumberFormat="1" applyBorder="1" applyAlignment="1">
      <alignment horizontal="left" vertical="top"/>
    </xf>
    <xf numFmtId="177" fontId="1" fillId="0" borderId="2" xfId="0" applyFont="1" applyNumberFormat="1" applyBorder="1" applyAlignment="1">
      <alignment horizontal="left" vertical="top"/>
    </xf>
    <xf numFmtId="178" fontId="1" fillId="0" borderId="2" xfId="0" applyFont="1" applyNumberFormat="1" applyBorder="1" applyAlignment="1">
      <alignment horizontal="left" vertical="top"/>
    </xf>
    <xf numFmtId="179" fontId="1" fillId="0" borderId="2" xfId="0" applyFont="1" applyNumberFormat="1" applyBorder="1" applyAlignment="1">
      <alignment horizontal="left" vertical="top"/>
    </xf>
    <xf numFmtId="180" fontId="1" fillId="0" borderId="2" xfId="0" applyFont="1" applyNumberFormat="1" applyBorder="1" applyAlignment="1">
      <alignment horizontal="left" vertical="top"/>
    </xf>
    <xf numFmtId="181" fontId="1" fillId="0" borderId="2" xfId="0" applyFont="1" applyNumberFormat="1" applyBorder="1" applyAlignment="1">
      <alignment horizontal="left" vertical="top"/>
    </xf>
    <xf numFmtId="182" fontId="1" fillId="0" borderId="2" xfId="0" applyFont="1" applyNumberFormat="1" applyBorder="1" applyAlignment="1">
      <alignment horizontal="left" vertical="top"/>
    </xf>
    <xf numFmtId="183" fontId="1" fillId="0" borderId="2" xfId="0" applyFont="1" applyNumberFormat="1" applyBorder="1" applyAlignment="1">
      <alignment horizontal="left" vertical="top"/>
    </xf>
    <xf numFmtId="184" fontId="1" fillId="0" borderId="2" xfId="0" applyFont="1" applyNumberFormat="1" applyBorder="1" applyAlignment="1">
      <alignment horizontal="left" vertical="top"/>
    </xf>
    <xf numFmtId="185" fontId="1" fillId="0" borderId="2" xfId="0" applyFont="1" applyNumberFormat="1" applyBorder="1" applyAlignment="1">
      <alignment horizontal="left" vertical="top"/>
    </xf>
    <xf numFmtId="186" fontId="1" fillId="0" borderId="2" xfId="0" applyFont="1" applyNumberFormat="1" applyBorder="1" applyAlignment="1">
      <alignment horizontal="left" vertical="top"/>
    </xf>
    <xf numFmtId="49" fontId="4" fillId="3" borderId="3" xfId="0" applyFont="1" applyNumberFormat="1" applyFill="1" applyBorder="1" applyAlignment="1">
      <alignment horizontal="center" vertical="top" wrapText="1"/>
    </xf>
    <xf numFmtId="187" fontId="1" fillId="0" borderId="0" xfId="0" applyFont="1" applyNumberFormat="1" applyAlignment="1">
      <alignment horizontal="left" vertical="top"/>
    </xf>
    <xf numFmtId="188" fontId="1" fillId="0" borderId="0" xfId="0" applyFont="1" applyNumberFormat="1" applyAlignment="1">
      <alignment horizontal="left" vertical="top"/>
    </xf>
    <xf numFmtId="189" fontId="1" fillId="0" borderId="0" xfId="0" applyFont="1" applyNumberFormat="1" applyAlignment="1">
      <alignment horizontal="left" vertical="top"/>
    </xf>
    <xf numFmtId="190" fontId="1" fillId="0" borderId="0" xfId="0" applyFont="1" applyNumberFormat="1" applyAlignment="1">
      <alignment horizontal="left" vertical="top"/>
    </xf>
    <xf numFmtId="191" fontId="1" fillId="0" borderId="0" xfId="0" applyFont="1" applyNumberFormat="1" applyAlignment="1">
      <alignment horizontal="left" vertical="top"/>
    </xf>
    <xf numFmtId="192" fontId="1" fillId="0" borderId="0" xfId="0" applyFont="1" applyNumberFormat="1" applyAlignment="1">
      <alignment horizontal="left" vertical="top"/>
    </xf>
    <xf numFmtId="193" fontId="1" fillId="0" borderId="0" xfId="0" applyFont="1" applyNumberFormat="1" applyAlignment="1">
      <alignment horizontal="left" vertical="top"/>
    </xf>
    <xf numFmtId="194" fontId="1" fillId="0" borderId="0" xfId="0" applyFont="1" applyNumberFormat="1" applyAlignment="1">
      <alignment horizontal="left" vertical="top"/>
    </xf>
    <xf numFmtId="195" fontId="1" fillId="0" borderId="0" xfId="0" applyFont="1" applyNumberFormat="1" applyAlignment="1">
      <alignment horizontal="left" vertical="top"/>
    </xf>
    <xf numFmtId="196" fontId="1" fillId="0" borderId="0" xfId="0" applyFont="1" applyNumberFormat="1" applyAlignment="1">
      <alignment horizontal="left" vertical="top"/>
    </xf>
    <xf numFmtId="197" fontId="1" fillId="0" borderId="0" xfId="0" applyFont="1" applyNumberFormat="1" applyAlignment="1">
      <alignment horizontal="left" vertical="top"/>
    </xf>
    <xf numFmtId="187" fontId="1" fillId="0" borderId="1" xfId="0" applyFont="1" applyNumberFormat="1" applyBorder="1" applyAlignment="1">
      <alignment horizontal="left" vertical="top"/>
    </xf>
    <xf numFmtId="188" fontId="1" fillId="0" borderId="1" xfId="0" applyFont="1" applyNumberFormat="1" applyBorder="1" applyAlignment="1">
      <alignment horizontal="left" vertical="top"/>
    </xf>
    <xf numFmtId="189" fontId="1" fillId="0" borderId="1" xfId="0" applyFont="1" applyNumberFormat="1" applyBorder="1" applyAlignment="1">
      <alignment horizontal="left" vertical="top"/>
    </xf>
    <xf numFmtId="190" fontId="1" fillId="0" borderId="1" xfId="0" applyFont="1" applyNumberFormat="1" applyBorder="1" applyAlignment="1">
      <alignment horizontal="left" vertical="top"/>
    </xf>
    <xf numFmtId="191" fontId="1" fillId="0" borderId="1" xfId="0" applyFont="1" applyNumberFormat="1" applyBorder="1" applyAlignment="1">
      <alignment horizontal="left" vertical="top"/>
    </xf>
    <xf numFmtId="192" fontId="1" fillId="0" borderId="1" xfId="0" applyFont="1" applyNumberFormat="1" applyBorder="1" applyAlignment="1">
      <alignment horizontal="left" vertical="top"/>
    </xf>
    <xf numFmtId="193" fontId="1" fillId="0" borderId="1" xfId="0" applyFont="1" applyNumberFormat="1" applyBorder="1" applyAlignment="1">
      <alignment horizontal="left" vertical="top"/>
    </xf>
    <xf numFmtId="194" fontId="1" fillId="0" borderId="1" xfId="0" applyFont="1" applyNumberFormat="1" applyBorder="1" applyAlignment="1">
      <alignment horizontal="left" vertical="top"/>
    </xf>
    <xf numFmtId="195" fontId="1" fillId="0" borderId="1" xfId="0" applyFont="1" applyNumberFormat="1" applyBorder="1" applyAlignment="1">
      <alignment horizontal="left" vertical="top"/>
    </xf>
    <xf numFmtId="196" fontId="1" fillId="0" borderId="1" xfId="0" applyFont="1" applyNumberFormat="1" applyBorder="1" applyAlignment="1">
      <alignment horizontal="left" vertical="top"/>
    </xf>
    <xf numFmtId="197" fontId="1" fillId="0" borderId="1" xfId="0" applyFont="1" applyNumberFormat="1" applyBorder="1" applyAlignment="1">
      <alignment horizontal="left" vertical="top"/>
    </xf>
    <xf numFmtId="187" fontId="1" fillId="0" borderId="2" xfId="0" applyFont="1" applyNumberFormat="1" applyBorder="1" applyAlignment="1">
      <alignment horizontal="left" vertical="top"/>
    </xf>
    <xf numFmtId="188" fontId="1" fillId="0" borderId="2" xfId="0" applyFont="1" applyNumberFormat="1" applyBorder="1" applyAlignment="1">
      <alignment horizontal="left" vertical="top"/>
    </xf>
    <xf numFmtId="189" fontId="1" fillId="0" borderId="2" xfId="0" applyFont="1" applyNumberFormat="1" applyBorder="1" applyAlignment="1">
      <alignment horizontal="left" vertical="top"/>
    </xf>
    <xf numFmtId="190" fontId="1" fillId="0" borderId="2" xfId="0" applyFont="1" applyNumberFormat="1" applyBorder="1" applyAlignment="1">
      <alignment horizontal="left" vertical="top"/>
    </xf>
    <xf numFmtId="191" fontId="1" fillId="0" borderId="2" xfId="0" applyFont="1" applyNumberFormat="1" applyBorder="1" applyAlignment="1">
      <alignment horizontal="left" vertical="top"/>
    </xf>
    <xf numFmtId="192" fontId="1" fillId="0" borderId="2" xfId="0" applyFont="1" applyNumberFormat="1" applyBorder="1" applyAlignment="1">
      <alignment horizontal="left" vertical="top"/>
    </xf>
    <xf numFmtId="193" fontId="1" fillId="0" borderId="2" xfId="0" applyFont="1" applyNumberFormat="1" applyBorder="1" applyAlignment="1">
      <alignment horizontal="left" vertical="top"/>
    </xf>
    <xf numFmtId="194" fontId="1" fillId="0" borderId="2" xfId="0" applyFont="1" applyNumberFormat="1" applyBorder="1" applyAlignment="1">
      <alignment horizontal="left" vertical="top"/>
    </xf>
    <xf numFmtId="195" fontId="1" fillId="0" borderId="2" xfId="0" applyFont="1" applyNumberFormat="1" applyBorder="1" applyAlignment="1">
      <alignment horizontal="left" vertical="top"/>
    </xf>
    <xf numFmtId="196" fontId="1" fillId="0" borderId="2" xfId="0" applyFont="1" applyNumberFormat="1" applyBorder="1" applyAlignment="1">
      <alignment horizontal="left" vertical="top"/>
    </xf>
    <xf numFmtId="197" fontId="1" fillId="0" borderId="2" xfId="0" applyFont="1" applyNumberFormat="1" applyBorder="1" applyAlignment="1">
      <alignment horizontal="left" vertical="top"/>
    </xf>
    <xf numFmtId="198" fontId="1" fillId="0" borderId="0" xfId="0" applyFont="1" applyNumberFormat="1" applyAlignment="1">
      <alignment horizontal="left" vertical="top"/>
    </xf>
    <xf numFmtId="199" fontId="1" fillId="0" borderId="0" xfId="0" applyFont="1" applyNumberFormat="1" applyAlignment="1">
      <alignment horizontal="left" vertical="top"/>
    </xf>
    <xf numFmtId="200" fontId="1" fillId="0" borderId="0" xfId="0" applyFont="1" applyNumberFormat="1" applyAlignment="1">
      <alignment horizontal="left" vertical="top"/>
    </xf>
    <xf numFmtId="201" fontId="1" fillId="0" borderId="0" xfId="0" applyFont="1" applyNumberFormat="1" applyAlignment="1">
      <alignment horizontal="left" vertical="top"/>
    </xf>
    <xf numFmtId="202" fontId="1" fillId="0" borderId="0" xfId="0" applyFont="1" applyNumberFormat="1" applyAlignment="1">
      <alignment horizontal="left" vertical="top"/>
    </xf>
    <xf numFmtId="203" fontId="1" fillId="0" borderId="0" xfId="0" applyFont="1" applyNumberFormat="1" applyAlignment="1">
      <alignment horizontal="left" vertical="top"/>
    </xf>
    <xf numFmtId="204" fontId="1" fillId="0" borderId="0" xfId="0" applyFont="1" applyNumberFormat="1" applyAlignment="1">
      <alignment horizontal="left" vertical="top"/>
    </xf>
    <xf numFmtId="205" fontId="1" fillId="0" borderId="0" xfId="0" applyFont="1" applyNumberFormat="1" applyAlignment="1">
      <alignment horizontal="left" vertical="top"/>
    </xf>
    <xf numFmtId="206" fontId="1" fillId="0" borderId="0" xfId="0" applyFont="1" applyNumberFormat="1" applyAlignment="1">
      <alignment horizontal="left" vertical="top"/>
    </xf>
    <xf numFmtId="207" fontId="1" fillId="0" borderId="0" xfId="0" applyFont="1" applyNumberFormat="1" applyAlignment="1">
      <alignment horizontal="left" vertical="top"/>
    </xf>
    <xf numFmtId="208" fontId="1" fillId="0" borderId="0" xfId="0" applyFont="1" applyNumberFormat="1" applyAlignment="1">
      <alignment horizontal="left" vertical="top"/>
    </xf>
    <xf numFmtId="198" fontId="1" fillId="0" borderId="1" xfId="0" applyFont="1" applyNumberFormat="1" applyBorder="1" applyAlignment="1">
      <alignment horizontal="left" vertical="top"/>
    </xf>
    <xf numFmtId="199" fontId="1" fillId="0" borderId="1" xfId="0" applyFont="1" applyNumberFormat="1" applyBorder="1" applyAlignment="1">
      <alignment horizontal="left" vertical="top"/>
    </xf>
    <xf numFmtId="200" fontId="1" fillId="0" borderId="1" xfId="0" applyFont="1" applyNumberFormat="1" applyBorder="1" applyAlignment="1">
      <alignment horizontal="left" vertical="top"/>
    </xf>
    <xf numFmtId="201" fontId="1" fillId="0" borderId="1" xfId="0" applyFont="1" applyNumberFormat="1" applyBorder="1" applyAlignment="1">
      <alignment horizontal="left" vertical="top"/>
    </xf>
    <xf numFmtId="202" fontId="1" fillId="0" borderId="1" xfId="0" applyFont="1" applyNumberFormat="1" applyBorder="1" applyAlignment="1">
      <alignment horizontal="left" vertical="top"/>
    </xf>
    <xf numFmtId="203" fontId="1" fillId="0" borderId="1" xfId="0" applyFont="1" applyNumberFormat="1" applyBorder="1" applyAlignment="1">
      <alignment horizontal="left" vertical="top"/>
    </xf>
    <xf numFmtId="204" fontId="1" fillId="0" borderId="1" xfId="0" applyFont="1" applyNumberFormat="1" applyBorder="1" applyAlignment="1">
      <alignment horizontal="left" vertical="top"/>
    </xf>
    <xf numFmtId="205" fontId="1" fillId="0" borderId="1" xfId="0" applyFont="1" applyNumberFormat="1" applyBorder="1" applyAlignment="1">
      <alignment horizontal="left" vertical="top"/>
    </xf>
    <xf numFmtId="206" fontId="1" fillId="0" borderId="1" xfId="0" applyFont="1" applyNumberFormat="1" applyBorder="1" applyAlignment="1">
      <alignment horizontal="left" vertical="top"/>
    </xf>
    <xf numFmtId="207" fontId="1" fillId="0" borderId="1" xfId="0" applyFont="1" applyNumberFormat="1" applyBorder="1" applyAlignment="1">
      <alignment horizontal="left" vertical="top"/>
    </xf>
    <xf numFmtId="208" fontId="1" fillId="0" borderId="1" xfId="0" applyFont="1" applyNumberFormat="1" applyBorder="1" applyAlignment="1">
      <alignment horizontal="left" vertical="top"/>
    </xf>
    <xf numFmtId="198" fontId="1" fillId="0" borderId="2" xfId="0" applyFont="1" applyNumberFormat="1" applyBorder="1" applyAlignment="1">
      <alignment horizontal="left" vertical="top"/>
    </xf>
    <xf numFmtId="199" fontId="1" fillId="0" borderId="2" xfId="0" applyFont="1" applyNumberFormat="1" applyBorder="1" applyAlignment="1">
      <alignment horizontal="left" vertical="top"/>
    </xf>
    <xf numFmtId="200" fontId="1" fillId="0" borderId="2" xfId="0" applyFont="1" applyNumberFormat="1" applyBorder="1" applyAlignment="1">
      <alignment horizontal="left" vertical="top"/>
    </xf>
    <xf numFmtId="201" fontId="1" fillId="0" borderId="2" xfId="0" applyFont="1" applyNumberFormat="1" applyBorder="1" applyAlignment="1">
      <alignment horizontal="left" vertical="top"/>
    </xf>
    <xf numFmtId="202" fontId="1" fillId="0" borderId="2" xfId="0" applyFont="1" applyNumberFormat="1" applyBorder="1" applyAlignment="1">
      <alignment horizontal="left" vertical="top"/>
    </xf>
    <xf numFmtId="203" fontId="1" fillId="0" borderId="2" xfId="0" applyFont="1" applyNumberFormat="1" applyBorder="1" applyAlignment="1">
      <alignment horizontal="left" vertical="top"/>
    </xf>
    <xf numFmtId="204" fontId="1" fillId="0" borderId="2" xfId="0" applyFont="1" applyNumberFormat="1" applyBorder="1" applyAlignment="1">
      <alignment horizontal="left" vertical="top"/>
    </xf>
    <xf numFmtId="205" fontId="1" fillId="0" borderId="2" xfId="0" applyFont="1" applyNumberFormat="1" applyBorder="1" applyAlignment="1">
      <alignment horizontal="left" vertical="top"/>
    </xf>
    <xf numFmtId="206" fontId="1" fillId="0" borderId="2" xfId="0" applyFont="1" applyNumberFormat="1" applyBorder="1" applyAlignment="1">
      <alignment horizontal="left" vertical="top"/>
    </xf>
    <xf numFmtId="207" fontId="1" fillId="0" borderId="2" xfId="0" applyFont="1" applyNumberFormat="1" applyBorder="1" applyAlignment="1">
      <alignment horizontal="left" vertical="top"/>
    </xf>
    <xf numFmtId="208" fontId="1" fillId="0" borderId="2" xfId="0" applyFont="1" applyNumberFormat="1" applyBorder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_test_sheet" displayName="table_test_sheet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ables/table4.xml><?xml version="1.0" encoding="utf-8"?>
<table xmlns="http://schemas.openxmlformats.org/spreadsheetml/2006/main" id="4" name="table_test_1_no_footnote_title" displayName="table_test_1_no_footnote_title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ables/table5.xml><?xml version="1.0" encoding="utf-8"?>
<table xmlns="http://schemas.openxmlformats.org/spreadsheetml/2006/main" id="5" name="table_test_2_no_footnote" displayName="table_test_2_no_footnote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ables/table6.xml><?xml version="1.0" encoding="utf-8"?>
<table xmlns="http://schemas.openxmlformats.org/spreadsheetml/2006/main" id="6" name="table_test_3_all" displayName="table_test_3_all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11</v>
      </c>
    </row>
    <row r="2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30" t="s">
        <v>10</v>
      </c>
    </row>
    <row r="3">
      <c r="A3" s="6" t="n">
        <v>21</v>
      </c>
      <c r="B3" s="7" t="n">
        <v>6</v>
      </c>
      <c r="C3" s="8" t="n">
        <v>160</v>
      </c>
      <c r="D3" s="9" t="n">
        <v>110</v>
      </c>
      <c r="E3" s="10" t="n">
        <v>3.9</v>
      </c>
      <c r="F3" s="11" t="n">
        <v>2.62</v>
      </c>
      <c r="G3" s="13" t="n">
        <v>16.46</v>
      </c>
      <c r="H3" s="14" t="n">
        <v>0</v>
      </c>
      <c r="I3" s="15" t="n">
        <v>1</v>
      </c>
      <c r="J3" s="16" t="n">
        <v>4</v>
      </c>
      <c r="K3" s="17" t="n">
        <v>4</v>
      </c>
    </row>
    <row r="4">
      <c r="A4" s="1" t="n">
        <v>21</v>
      </c>
      <c r="B4" s="12" t="n">
        <v>6</v>
      </c>
      <c r="C4" s="23" t="n">
        <v>160</v>
      </c>
      <c r="D4" s="31" t="n">
        <v>110</v>
      </c>
      <c r="E4" s="32" t="n">
        <v>3.9</v>
      </c>
      <c r="F4" s="33" t="n">
        <v>2.875</v>
      </c>
      <c r="G4" s="34" t="n">
        <v>17.02</v>
      </c>
      <c r="H4" s="35" t="n">
        <v>0</v>
      </c>
      <c r="I4" s="36" t="n">
        <v>1</v>
      </c>
      <c r="J4" s="2" t="n">
        <v>4</v>
      </c>
      <c r="K4" s="3" t="n">
        <v>4</v>
      </c>
    </row>
    <row r="5">
      <c r="A5" s="1" t="n">
        <v>22.8</v>
      </c>
      <c r="B5" s="12" t="n">
        <v>4</v>
      </c>
      <c r="C5" s="23" t="n">
        <v>108</v>
      </c>
      <c r="D5" s="31" t="n">
        <v>93</v>
      </c>
      <c r="E5" s="32" t="n">
        <v>3.85</v>
      </c>
      <c r="F5" s="33" t="n">
        <v>2.32</v>
      </c>
      <c r="G5" s="34" t="n">
        <v>18.61</v>
      </c>
      <c r="H5" s="35" t="n">
        <v>1</v>
      </c>
      <c r="I5" s="36" t="n">
        <v>1</v>
      </c>
      <c r="J5" s="2" t="n">
        <v>4</v>
      </c>
      <c r="K5" s="3" t="n">
        <v>1</v>
      </c>
    </row>
    <row r="6">
      <c r="A6" s="1" t="n">
        <v>21.4</v>
      </c>
      <c r="B6" s="12" t="n">
        <v>6</v>
      </c>
      <c r="C6" s="23" t="n">
        <v>258</v>
      </c>
      <c r="D6" s="31" t="n">
        <v>110</v>
      </c>
      <c r="E6" s="32" t="n">
        <v>3.08</v>
      </c>
      <c r="F6" s="33" t="n">
        <v>3.215</v>
      </c>
      <c r="G6" s="34" t="n">
        <v>19.44</v>
      </c>
      <c r="H6" s="35" t="n">
        <v>1</v>
      </c>
      <c r="I6" s="36" t="n">
        <v>0</v>
      </c>
      <c r="J6" s="2" t="n">
        <v>3</v>
      </c>
      <c r="K6" s="3" t="n">
        <v>1</v>
      </c>
    </row>
    <row r="7">
      <c r="A7" s="1" t="n">
        <v>18.7</v>
      </c>
      <c r="B7" s="12" t="n">
        <v>8</v>
      </c>
      <c r="C7" s="23" t="n">
        <v>360</v>
      </c>
      <c r="D7" s="31" t="n">
        <v>175</v>
      </c>
      <c r="E7" s="32" t="n">
        <v>3.15</v>
      </c>
      <c r="F7" s="33" t="n">
        <v>3.44</v>
      </c>
      <c r="G7" s="34" t="n">
        <v>17.02</v>
      </c>
      <c r="H7" s="35" t="n">
        <v>0</v>
      </c>
      <c r="I7" s="36" t="n">
        <v>0</v>
      </c>
      <c r="J7" s="2" t="n">
        <v>3</v>
      </c>
      <c r="K7" s="3" t="n">
        <v>2</v>
      </c>
    </row>
    <row r="8">
      <c r="A8" s="1" t="n">
        <v>18.1</v>
      </c>
      <c r="B8" s="12" t="n">
        <v>6</v>
      </c>
      <c r="C8" s="23" t="n">
        <v>225</v>
      </c>
      <c r="D8" s="31" t="n">
        <v>105</v>
      </c>
      <c r="E8" s="32" t="n">
        <v>2.76</v>
      </c>
      <c r="F8" s="33" t="n">
        <v>3.46</v>
      </c>
      <c r="G8" s="34" t="n">
        <v>20.22</v>
      </c>
      <c r="H8" s="35" t="n">
        <v>1</v>
      </c>
      <c r="I8" s="36" t="n">
        <v>0</v>
      </c>
      <c r="J8" s="2" t="n">
        <v>3</v>
      </c>
      <c r="K8" s="3" t="n">
        <v>1</v>
      </c>
    </row>
    <row r="9">
      <c r="A9" s="1" t="n">
        <v>14.3</v>
      </c>
      <c r="B9" s="12" t="n">
        <v>8</v>
      </c>
      <c r="C9" s="23" t="n">
        <v>360</v>
      </c>
      <c r="D9" s="31" t="n">
        <v>245</v>
      </c>
      <c r="E9" s="32" t="n">
        <v>3.21</v>
      </c>
      <c r="F9" s="33" t="n">
        <v>3.57</v>
      </c>
      <c r="G9" s="34" t="n">
        <v>15.84</v>
      </c>
      <c r="H9" s="35" t="n">
        <v>0</v>
      </c>
      <c r="I9" s="36" t="n">
        <v>0</v>
      </c>
      <c r="J9" s="2" t="n">
        <v>3</v>
      </c>
      <c r="K9" s="3" t="n">
        <v>4</v>
      </c>
    </row>
    <row r="10">
      <c r="A10" s="1" t="n">
        <v>24.4</v>
      </c>
      <c r="B10" s="12" t="n">
        <v>4</v>
      </c>
      <c r="C10" s="23" t="n">
        <v>146.7</v>
      </c>
      <c r="D10" s="31" t="n">
        <v>62</v>
      </c>
      <c r="E10" s="32" t="n">
        <v>3.69</v>
      </c>
      <c r="F10" s="33" t="n">
        <v>3.19</v>
      </c>
      <c r="G10" s="34" t="n">
        <v>20</v>
      </c>
      <c r="H10" s="35" t="n">
        <v>1</v>
      </c>
      <c r="I10" s="36" t="n">
        <v>0</v>
      </c>
      <c r="J10" s="2" t="n">
        <v>4</v>
      </c>
      <c r="K10" s="3" t="n">
        <v>2</v>
      </c>
    </row>
    <row r="11">
      <c r="A11" s="1" t="n">
        <v>22.8</v>
      </c>
      <c r="B11" s="12" t="n">
        <v>4</v>
      </c>
      <c r="C11" s="23" t="n">
        <v>140.8</v>
      </c>
      <c r="D11" s="31" t="n">
        <v>95</v>
      </c>
      <c r="E11" s="32" t="n">
        <v>3.92</v>
      </c>
      <c r="F11" s="33" t="n">
        <v>3.15</v>
      </c>
      <c r="G11" s="34" t="n">
        <v>22.9</v>
      </c>
      <c r="H11" s="35" t="n">
        <v>1</v>
      </c>
      <c r="I11" s="36" t="n">
        <v>0</v>
      </c>
      <c r="J11" s="2" t="n">
        <v>4</v>
      </c>
      <c r="K11" s="3" t="n">
        <v>2</v>
      </c>
    </row>
    <row r="12">
      <c r="A12" s="1" t="n">
        <v>19.2</v>
      </c>
      <c r="B12" s="12" t="n">
        <v>6</v>
      </c>
      <c r="C12" s="23" t="n">
        <v>167.6</v>
      </c>
      <c r="D12" s="31" t="n">
        <v>123</v>
      </c>
      <c r="E12" s="32" t="n">
        <v>3.92</v>
      </c>
      <c r="F12" s="33" t="n">
        <v>3.44</v>
      </c>
      <c r="G12" s="34" t="n">
        <v>18.3</v>
      </c>
      <c r="H12" s="35" t="n">
        <v>1</v>
      </c>
      <c r="I12" s="36" t="n">
        <v>0</v>
      </c>
      <c r="J12" s="2" t="n">
        <v>4</v>
      </c>
      <c r="K12" s="3" t="n">
        <v>4</v>
      </c>
    </row>
    <row r="13">
      <c r="A13" s="1" t="n">
        <v>17.8</v>
      </c>
      <c r="B13" s="12" t="n">
        <v>6</v>
      </c>
      <c r="C13" s="23" t="n">
        <v>167.6</v>
      </c>
      <c r="D13" s="31" t="n">
        <v>123</v>
      </c>
      <c r="E13" s="32" t="n">
        <v>3.92</v>
      </c>
      <c r="F13" s="33" t="n">
        <v>3.44</v>
      </c>
      <c r="G13" s="34" t="n">
        <v>18.9</v>
      </c>
      <c r="H13" s="35" t="n">
        <v>1</v>
      </c>
      <c r="I13" s="36" t="n">
        <v>0</v>
      </c>
      <c r="J13" s="2" t="n">
        <v>4</v>
      </c>
      <c r="K13" s="3" t="n">
        <v>4</v>
      </c>
    </row>
    <row r="14">
      <c r="A14" s="1" t="n">
        <v>16.4</v>
      </c>
      <c r="B14" s="12" t="n">
        <v>8</v>
      </c>
      <c r="C14" s="23" t="n">
        <v>275.8</v>
      </c>
      <c r="D14" s="31" t="n">
        <v>180</v>
      </c>
      <c r="E14" s="32" t="n">
        <v>3.07</v>
      </c>
      <c r="F14" s="33" t="n">
        <v>4.07</v>
      </c>
      <c r="G14" s="34" t="n">
        <v>17.4</v>
      </c>
      <c r="H14" s="35" t="n">
        <v>0</v>
      </c>
      <c r="I14" s="36" t="n">
        <v>0</v>
      </c>
      <c r="J14" s="2" t="n">
        <v>3</v>
      </c>
      <c r="K14" s="3" t="n">
        <v>3</v>
      </c>
    </row>
    <row r="15">
      <c r="A15" s="1" t="n">
        <v>17.3</v>
      </c>
      <c r="B15" s="12" t="n">
        <v>8</v>
      </c>
      <c r="C15" s="23" t="n">
        <v>275.8</v>
      </c>
      <c r="D15" s="31" t="n">
        <v>180</v>
      </c>
      <c r="E15" s="32" t="n">
        <v>3.07</v>
      </c>
      <c r="F15" s="33" t="n">
        <v>3.73</v>
      </c>
      <c r="G15" s="34" t="n">
        <v>17.6</v>
      </c>
      <c r="H15" s="35" t="n">
        <v>0</v>
      </c>
      <c r="I15" s="36" t="n">
        <v>0</v>
      </c>
      <c r="J15" s="2" t="n">
        <v>3</v>
      </c>
      <c r="K15" s="3" t="n">
        <v>3</v>
      </c>
    </row>
    <row r="16">
      <c r="A16" s="1" t="n">
        <v>15.2</v>
      </c>
      <c r="B16" s="12" t="n">
        <v>8</v>
      </c>
      <c r="C16" s="23" t="n">
        <v>275.8</v>
      </c>
      <c r="D16" s="31" t="n">
        <v>180</v>
      </c>
      <c r="E16" s="32" t="n">
        <v>3.07</v>
      </c>
      <c r="F16" s="33" t="n">
        <v>3.78</v>
      </c>
      <c r="G16" s="34" t="n">
        <v>18</v>
      </c>
      <c r="H16" s="35" t="n">
        <v>0</v>
      </c>
      <c r="I16" s="36" t="n">
        <v>0</v>
      </c>
      <c r="J16" s="2" t="n">
        <v>3</v>
      </c>
      <c r="K16" s="3" t="n">
        <v>3</v>
      </c>
    </row>
    <row r="17">
      <c r="A17" s="1" t="n">
        <v>10.4</v>
      </c>
      <c r="B17" s="12" t="n">
        <v>8</v>
      </c>
      <c r="C17" s="23" t="n">
        <v>472</v>
      </c>
      <c r="D17" s="31" t="n">
        <v>205</v>
      </c>
      <c r="E17" s="32" t="n">
        <v>2.93</v>
      </c>
      <c r="F17" s="33" t="n">
        <v>5.25</v>
      </c>
      <c r="G17" s="34" t="n">
        <v>17.98</v>
      </c>
      <c r="H17" s="35" t="n">
        <v>0</v>
      </c>
      <c r="I17" s="36" t="n">
        <v>0</v>
      </c>
      <c r="J17" s="2" t="n">
        <v>3</v>
      </c>
      <c r="K17" s="3" t="n">
        <v>4</v>
      </c>
    </row>
    <row r="18">
      <c r="A18" s="1" t="n">
        <v>10.4</v>
      </c>
      <c r="B18" s="12" t="n">
        <v>8</v>
      </c>
      <c r="C18" s="23" t="n">
        <v>460</v>
      </c>
      <c r="D18" s="31" t="n">
        <v>215</v>
      </c>
      <c r="E18" s="32" t="n">
        <v>3</v>
      </c>
      <c r="F18" s="33" t="n">
        <v>5.424</v>
      </c>
      <c r="G18" s="34" t="n">
        <v>17.82</v>
      </c>
      <c r="H18" s="35" t="n">
        <v>0</v>
      </c>
      <c r="I18" s="36" t="n">
        <v>0</v>
      </c>
      <c r="J18" s="2" t="n">
        <v>3</v>
      </c>
      <c r="K18" s="3" t="n">
        <v>4</v>
      </c>
    </row>
    <row r="19">
      <c r="A19" s="1" t="n">
        <v>14.7</v>
      </c>
      <c r="B19" s="12" t="n">
        <v>8</v>
      </c>
      <c r="C19" s="23" t="n">
        <v>440</v>
      </c>
      <c r="D19" s="31" t="n">
        <v>230</v>
      </c>
      <c r="E19" s="32" t="n">
        <v>3.23</v>
      </c>
      <c r="F19" s="33" t="n">
        <v>5.345</v>
      </c>
      <c r="G19" s="34" t="n">
        <v>17.42</v>
      </c>
      <c r="H19" s="35" t="n">
        <v>0</v>
      </c>
      <c r="I19" s="36" t="n">
        <v>0</v>
      </c>
      <c r="J19" s="2" t="n">
        <v>3</v>
      </c>
      <c r="K19" s="3" t="n">
        <v>4</v>
      </c>
    </row>
    <row r="20">
      <c r="A20" s="1" t="n">
        <v>32.4</v>
      </c>
      <c r="B20" s="12" t="n">
        <v>4</v>
      </c>
      <c r="C20" s="23" t="n">
        <v>78.7</v>
      </c>
      <c r="D20" s="31" t="n">
        <v>66</v>
      </c>
      <c r="E20" s="32" t="n">
        <v>4.08</v>
      </c>
      <c r="F20" s="33" t="n">
        <v>2.2</v>
      </c>
      <c r="G20" s="34" t="n">
        <v>19.47</v>
      </c>
      <c r="H20" s="35" t="n">
        <v>1</v>
      </c>
      <c r="I20" s="36" t="n">
        <v>1</v>
      </c>
      <c r="J20" s="2" t="n">
        <v>4</v>
      </c>
      <c r="K20" s="3" t="n">
        <v>1</v>
      </c>
    </row>
    <row r="21">
      <c r="A21" s="1" t="n">
        <v>30.4</v>
      </c>
      <c r="B21" s="12" t="n">
        <v>4</v>
      </c>
      <c r="C21" s="23" t="n">
        <v>75.7</v>
      </c>
      <c r="D21" s="31" t="n">
        <v>52</v>
      </c>
      <c r="E21" s="32" t="n">
        <v>4.93</v>
      </c>
      <c r="F21" s="33" t="n">
        <v>1.615</v>
      </c>
      <c r="G21" s="34" t="n">
        <v>18.52</v>
      </c>
      <c r="H21" s="35" t="n">
        <v>1</v>
      </c>
      <c r="I21" s="36" t="n">
        <v>1</v>
      </c>
      <c r="J21" s="2" t="n">
        <v>4</v>
      </c>
      <c r="K21" s="3" t="n">
        <v>2</v>
      </c>
    </row>
    <row r="22">
      <c r="A22" s="1" t="n">
        <v>33.9</v>
      </c>
      <c r="B22" s="12" t="n">
        <v>4</v>
      </c>
      <c r="C22" s="23" t="n">
        <v>71.1</v>
      </c>
      <c r="D22" s="31" t="n">
        <v>65</v>
      </c>
      <c r="E22" s="32" t="n">
        <v>4.22</v>
      </c>
      <c r="F22" s="33" t="n">
        <v>1.835</v>
      </c>
      <c r="G22" s="34" t="n">
        <v>19.9</v>
      </c>
      <c r="H22" s="35" t="n">
        <v>1</v>
      </c>
      <c r="I22" s="36" t="n">
        <v>1</v>
      </c>
      <c r="J22" s="2" t="n">
        <v>4</v>
      </c>
      <c r="K22" s="3" t="n">
        <v>1</v>
      </c>
    </row>
    <row r="23">
      <c r="A23" s="1" t="n">
        <v>21.5</v>
      </c>
      <c r="B23" s="12" t="n">
        <v>4</v>
      </c>
      <c r="C23" s="23" t="n">
        <v>120.1</v>
      </c>
      <c r="D23" s="31" t="n">
        <v>97</v>
      </c>
      <c r="E23" s="32" t="n">
        <v>3.7</v>
      </c>
      <c r="F23" s="33" t="n">
        <v>2.465</v>
      </c>
      <c r="G23" s="34" t="n">
        <v>20.01</v>
      </c>
      <c r="H23" s="35" t="n">
        <v>1</v>
      </c>
      <c r="I23" s="36" t="n">
        <v>0</v>
      </c>
      <c r="J23" s="2" t="n">
        <v>3</v>
      </c>
      <c r="K23" s="3" t="n">
        <v>1</v>
      </c>
    </row>
    <row r="24">
      <c r="A24" s="1" t="n">
        <v>15.5</v>
      </c>
      <c r="B24" s="12" t="n">
        <v>8</v>
      </c>
      <c r="C24" s="23" t="n">
        <v>318</v>
      </c>
      <c r="D24" s="31" t="n">
        <v>150</v>
      </c>
      <c r="E24" s="32" t="n">
        <v>2.76</v>
      </c>
      <c r="F24" s="33" t="n">
        <v>3.52</v>
      </c>
      <c r="G24" s="34" t="n">
        <v>16.87</v>
      </c>
      <c r="H24" s="35" t="n">
        <v>0</v>
      </c>
      <c r="I24" s="36" t="n">
        <v>0</v>
      </c>
      <c r="J24" s="2" t="n">
        <v>3</v>
      </c>
      <c r="K24" s="3" t="n">
        <v>2</v>
      </c>
    </row>
    <row r="25">
      <c r="A25" s="1" t="n">
        <v>15.2</v>
      </c>
      <c r="B25" s="12" t="n">
        <v>8</v>
      </c>
      <c r="C25" s="23" t="n">
        <v>304</v>
      </c>
      <c r="D25" s="31" t="n">
        <v>150</v>
      </c>
      <c r="E25" s="32" t="n">
        <v>3.15</v>
      </c>
      <c r="F25" s="33" t="n">
        <v>3.435</v>
      </c>
      <c r="G25" s="34" t="n">
        <v>17.3</v>
      </c>
      <c r="H25" s="35" t="n">
        <v>0</v>
      </c>
      <c r="I25" s="36" t="n">
        <v>0</v>
      </c>
      <c r="J25" s="2" t="n">
        <v>3</v>
      </c>
      <c r="K25" s="3" t="n">
        <v>2</v>
      </c>
    </row>
    <row r="26">
      <c r="A26" s="1" t="n">
        <v>13.3</v>
      </c>
      <c r="B26" s="12" t="n">
        <v>8</v>
      </c>
      <c r="C26" s="23" t="n">
        <v>350</v>
      </c>
      <c r="D26" s="31" t="n">
        <v>245</v>
      </c>
      <c r="E26" s="32" t="n">
        <v>3.73</v>
      </c>
      <c r="F26" s="33" t="n">
        <v>3.84</v>
      </c>
      <c r="G26" s="34" t="n">
        <v>15.41</v>
      </c>
      <c r="H26" s="35" t="n">
        <v>0</v>
      </c>
      <c r="I26" s="36" t="n">
        <v>0</v>
      </c>
      <c r="J26" s="2" t="n">
        <v>3</v>
      </c>
      <c r="K26" s="3" t="n">
        <v>4</v>
      </c>
    </row>
    <row r="27">
      <c r="A27" s="1" t="n">
        <v>19.2</v>
      </c>
      <c r="B27" s="12" t="n">
        <v>8</v>
      </c>
      <c r="C27" s="23" t="n">
        <v>400</v>
      </c>
      <c r="D27" s="31" t="n">
        <v>175</v>
      </c>
      <c r="E27" s="32" t="n">
        <v>3.08</v>
      </c>
      <c r="F27" s="33" t="n">
        <v>3.845</v>
      </c>
      <c r="G27" s="34" t="n">
        <v>17.05</v>
      </c>
      <c r="H27" s="35" t="n">
        <v>0</v>
      </c>
      <c r="I27" s="36" t="n">
        <v>0</v>
      </c>
      <c r="J27" s="2" t="n">
        <v>3</v>
      </c>
      <c r="K27" s="3" t="n">
        <v>2</v>
      </c>
    </row>
    <row r="28">
      <c r="A28" s="1" t="n">
        <v>27.3</v>
      </c>
      <c r="B28" s="12" t="n">
        <v>4</v>
      </c>
      <c r="C28" s="23" t="n">
        <v>79</v>
      </c>
      <c r="D28" s="31" t="n">
        <v>66</v>
      </c>
      <c r="E28" s="32" t="n">
        <v>4.08</v>
      </c>
      <c r="F28" s="33" t="n">
        <v>1.935</v>
      </c>
      <c r="G28" s="34" t="n">
        <v>18.9</v>
      </c>
      <c r="H28" s="35" t="n">
        <v>1</v>
      </c>
      <c r="I28" s="36" t="n">
        <v>1</v>
      </c>
      <c r="J28" s="2" t="n">
        <v>4</v>
      </c>
      <c r="K28" s="3" t="n">
        <v>1</v>
      </c>
    </row>
    <row r="29">
      <c r="A29" s="1" t="n">
        <v>26</v>
      </c>
      <c r="B29" s="12" t="n">
        <v>4</v>
      </c>
      <c r="C29" s="23" t="n">
        <v>120.3</v>
      </c>
      <c r="D29" s="31" t="n">
        <v>91</v>
      </c>
      <c r="E29" s="32" t="n">
        <v>4.43</v>
      </c>
      <c r="F29" s="33" t="n">
        <v>2.14</v>
      </c>
      <c r="G29" s="34" t="n">
        <v>16.7</v>
      </c>
      <c r="H29" s="35" t="n">
        <v>0</v>
      </c>
      <c r="I29" s="36" t="n">
        <v>1</v>
      </c>
      <c r="J29" s="2" t="n">
        <v>5</v>
      </c>
      <c r="K29" s="3" t="n">
        <v>2</v>
      </c>
    </row>
    <row r="30">
      <c r="A30" s="1" t="n">
        <v>30.4</v>
      </c>
      <c r="B30" s="12" t="n">
        <v>4</v>
      </c>
      <c r="C30" s="23" t="n">
        <v>95.1</v>
      </c>
      <c r="D30" s="31" t="n">
        <v>113</v>
      </c>
      <c r="E30" s="32" t="n">
        <v>3.77</v>
      </c>
      <c r="F30" s="33" t="n">
        <v>1.513</v>
      </c>
      <c r="G30" s="34" t="n">
        <v>16.9</v>
      </c>
      <c r="H30" s="35" t="n">
        <v>1</v>
      </c>
      <c r="I30" s="36" t="n">
        <v>1</v>
      </c>
      <c r="J30" s="2" t="n">
        <v>5</v>
      </c>
      <c r="K30" s="3" t="n">
        <v>2</v>
      </c>
    </row>
    <row r="31">
      <c r="A31" s="1" t="n">
        <v>15.8</v>
      </c>
      <c r="B31" s="12" t="n">
        <v>8</v>
      </c>
      <c r="C31" s="23" t="n">
        <v>351</v>
      </c>
      <c r="D31" s="31" t="n">
        <v>264</v>
      </c>
      <c r="E31" s="32" t="n">
        <v>4.22</v>
      </c>
      <c r="F31" s="33" t="n">
        <v>3.17</v>
      </c>
      <c r="G31" s="34" t="n">
        <v>14.5</v>
      </c>
      <c r="H31" s="35" t="n">
        <v>0</v>
      </c>
      <c r="I31" s="36" t="n">
        <v>1</v>
      </c>
      <c r="J31" s="2" t="n">
        <v>5</v>
      </c>
      <c r="K31" s="3" t="n">
        <v>4</v>
      </c>
    </row>
    <row r="32">
      <c r="A32" s="1" t="n">
        <v>19.7</v>
      </c>
      <c r="B32" s="12" t="n">
        <v>6</v>
      </c>
      <c r="C32" s="23" t="n">
        <v>145</v>
      </c>
      <c r="D32" s="31" t="n">
        <v>175</v>
      </c>
      <c r="E32" s="32" t="n">
        <v>3.62</v>
      </c>
      <c r="F32" s="33" t="n">
        <v>2.77</v>
      </c>
      <c r="G32" s="34" t="n">
        <v>15.5</v>
      </c>
      <c r="H32" s="35" t="n">
        <v>0</v>
      </c>
      <c r="I32" s="36" t="n">
        <v>1</v>
      </c>
      <c r="J32" s="2" t="n">
        <v>5</v>
      </c>
      <c r="K32" s="3" t="n">
        <v>6</v>
      </c>
    </row>
    <row r="33">
      <c r="A33" s="1" t="n">
        <v>15</v>
      </c>
      <c r="B33" s="12" t="n">
        <v>8</v>
      </c>
      <c r="C33" s="23" t="n">
        <v>301</v>
      </c>
      <c r="D33" s="31" t="n">
        <v>335</v>
      </c>
      <c r="E33" s="32" t="n">
        <v>3.54</v>
      </c>
      <c r="F33" s="33" t="n">
        <v>3.57</v>
      </c>
      <c r="G33" s="34" t="n">
        <v>14.6</v>
      </c>
      <c r="H33" s="35" t="n">
        <v>0</v>
      </c>
      <c r="I33" s="36" t="n">
        <v>1</v>
      </c>
      <c r="J33" s="2" t="n">
        <v>5</v>
      </c>
      <c r="K33" s="3" t="n">
        <v>8</v>
      </c>
    </row>
    <row r="34">
      <c r="A34" s="18" t="n">
        <v>21.4</v>
      </c>
      <c r="B34" s="19" t="n">
        <v>4</v>
      </c>
      <c r="C34" s="20" t="n">
        <v>121</v>
      </c>
      <c r="D34" s="21" t="n">
        <v>109</v>
      </c>
      <c r="E34" s="22" t="n">
        <v>4.11</v>
      </c>
      <c r="F34" s="24" t="n">
        <v>2.78</v>
      </c>
      <c r="G34" s="25" t="n">
        <v>18.6</v>
      </c>
      <c r="H34" s="26" t="n">
        <v>1</v>
      </c>
      <c r="I34" s="27" t="n">
        <v>1</v>
      </c>
      <c r="J34" s="28" t="n">
        <v>4</v>
      </c>
      <c r="K34" s="29" t="n">
        <v>2</v>
      </c>
    </row>
    <row r="35">
      <c r="A35" s="5" t="s">
        <v>12</v>
      </c>
      <c r="B35" s="12"/>
      <c r="C35" s="23"/>
      <c r="D35" s="31"/>
      <c r="E35" s="32"/>
      <c r="F35" s="33"/>
      <c r="G35" s="34"/>
      <c r="H35" s="35"/>
      <c r="I35" s="36"/>
      <c r="J35" s="2"/>
      <c r="K35" s="3"/>
    </row>
    <row r="36">
      <c r="A36" s="37" t="str">
        <f>=HYPERLINK("#'Table of Contents'!A1", "TOC")</f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s="73" t="s">
        <v>0</v>
      </c>
      <c r="B2" s="73" t="s">
        <v>1</v>
      </c>
      <c r="C2" s="73" t="s">
        <v>2</v>
      </c>
      <c r="D2" s="73" t="s">
        <v>3</v>
      </c>
      <c r="E2" s="73" t="s">
        <v>4</v>
      </c>
      <c r="F2" s="73" t="s">
        <v>5</v>
      </c>
      <c r="G2" s="73" t="s">
        <v>6</v>
      </c>
      <c r="H2" s="73" t="s">
        <v>7</v>
      </c>
      <c r="I2" s="73" t="s">
        <v>8</v>
      </c>
      <c r="J2" s="73" t="s">
        <v>9</v>
      </c>
      <c r="K2" s="73" t="s">
        <v>10</v>
      </c>
    </row>
    <row r="3">
      <c r="A3" s="51" t="n">
        <v>21</v>
      </c>
      <c r="B3" s="52" t="n">
        <v>6</v>
      </c>
      <c r="C3" s="53" t="n">
        <v>160</v>
      </c>
      <c r="D3" s="54" t="n">
        <v>110</v>
      </c>
      <c r="E3" s="55" t="n">
        <v>3.9</v>
      </c>
      <c r="F3" s="56" t="n">
        <v>2.62</v>
      </c>
      <c r="G3" s="57" t="n">
        <v>16.46</v>
      </c>
      <c r="H3" s="58" t="n">
        <v>0</v>
      </c>
      <c r="I3" s="59" t="n">
        <v>1</v>
      </c>
      <c r="J3" s="60" t="n">
        <v>4</v>
      </c>
      <c r="K3" s="61" t="n">
        <v>4</v>
      </c>
    </row>
    <row r="4">
      <c r="A4" s="40" t="n">
        <v>21</v>
      </c>
      <c r="B4" s="41" t="n">
        <v>6</v>
      </c>
      <c r="C4" s="42" t="n">
        <v>160</v>
      </c>
      <c r="D4" s="43" t="n">
        <v>110</v>
      </c>
      <c r="E4" s="44" t="n">
        <v>3.9</v>
      </c>
      <c r="F4" s="45" t="n">
        <v>2.875</v>
      </c>
      <c r="G4" s="46" t="n">
        <v>17.02</v>
      </c>
      <c r="H4" s="47" t="n">
        <v>0</v>
      </c>
      <c r="I4" s="48" t="n">
        <v>1</v>
      </c>
      <c r="J4" s="49" t="n">
        <v>4</v>
      </c>
      <c r="K4" s="50" t="n">
        <v>4</v>
      </c>
    </row>
    <row r="5">
      <c r="A5" s="40" t="n">
        <v>22.8</v>
      </c>
      <c r="B5" s="41" t="n">
        <v>4</v>
      </c>
      <c r="C5" s="42" t="n">
        <v>108</v>
      </c>
      <c r="D5" s="43" t="n">
        <v>93</v>
      </c>
      <c r="E5" s="44" t="n">
        <v>3.85</v>
      </c>
      <c r="F5" s="45" t="n">
        <v>2.32</v>
      </c>
      <c r="G5" s="46" t="n">
        <v>18.61</v>
      </c>
      <c r="H5" s="47" t="n">
        <v>1</v>
      </c>
      <c r="I5" s="48" t="n">
        <v>1</v>
      </c>
      <c r="J5" s="49" t="n">
        <v>4</v>
      </c>
      <c r="K5" s="50" t="n">
        <v>1</v>
      </c>
    </row>
    <row r="6">
      <c r="A6" s="40" t="n">
        <v>21.4</v>
      </c>
      <c r="B6" s="41" t="n">
        <v>6</v>
      </c>
      <c r="C6" s="42" t="n">
        <v>258</v>
      </c>
      <c r="D6" s="43" t="n">
        <v>110</v>
      </c>
      <c r="E6" s="44" t="n">
        <v>3.08</v>
      </c>
      <c r="F6" s="45" t="n">
        <v>3.215</v>
      </c>
      <c r="G6" s="46" t="n">
        <v>19.44</v>
      </c>
      <c r="H6" s="47" t="n">
        <v>1</v>
      </c>
      <c r="I6" s="48" t="n">
        <v>0</v>
      </c>
      <c r="J6" s="49" t="n">
        <v>3</v>
      </c>
      <c r="K6" s="50" t="n">
        <v>1</v>
      </c>
    </row>
    <row r="7">
      <c r="A7" s="40" t="n">
        <v>18.7</v>
      </c>
      <c r="B7" s="41" t="n">
        <v>8</v>
      </c>
      <c r="C7" s="42" t="n">
        <v>360</v>
      </c>
      <c r="D7" s="43" t="n">
        <v>175</v>
      </c>
      <c r="E7" s="44" t="n">
        <v>3.15</v>
      </c>
      <c r="F7" s="45" t="n">
        <v>3.44</v>
      </c>
      <c r="G7" s="46" t="n">
        <v>17.02</v>
      </c>
      <c r="H7" s="47" t="n">
        <v>0</v>
      </c>
      <c r="I7" s="48" t="n">
        <v>0</v>
      </c>
      <c r="J7" s="49" t="n">
        <v>3</v>
      </c>
      <c r="K7" s="50" t="n">
        <v>2</v>
      </c>
    </row>
    <row r="8">
      <c r="A8" s="40" t="n">
        <v>18.1</v>
      </c>
      <c r="B8" s="41" t="n">
        <v>6</v>
      </c>
      <c r="C8" s="42" t="n">
        <v>225</v>
      </c>
      <c r="D8" s="43" t="n">
        <v>105</v>
      </c>
      <c r="E8" s="44" t="n">
        <v>2.76</v>
      </c>
      <c r="F8" s="45" t="n">
        <v>3.46</v>
      </c>
      <c r="G8" s="46" t="n">
        <v>20.22</v>
      </c>
      <c r="H8" s="47" t="n">
        <v>1</v>
      </c>
      <c r="I8" s="48" t="n">
        <v>0</v>
      </c>
      <c r="J8" s="49" t="n">
        <v>3</v>
      </c>
      <c r="K8" s="50" t="n">
        <v>1</v>
      </c>
    </row>
    <row r="9">
      <c r="A9" s="40" t="n">
        <v>14.3</v>
      </c>
      <c r="B9" s="41" t="n">
        <v>8</v>
      </c>
      <c r="C9" s="42" t="n">
        <v>360</v>
      </c>
      <c r="D9" s="43" t="n">
        <v>245</v>
      </c>
      <c r="E9" s="44" t="n">
        <v>3.21</v>
      </c>
      <c r="F9" s="45" t="n">
        <v>3.57</v>
      </c>
      <c r="G9" s="46" t="n">
        <v>15.84</v>
      </c>
      <c r="H9" s="47" t="n">
        <v>0</v>
      </c>
      <c r="I9" s="48" t="n">
        <v>0</v>
      </c>
      <c r="J9" s="49" t="n">
        <v>3</v>
      </c>
      <c r="K9" s="50" t="n">
        <v>4</v>
      </c>
    </row>
    <row r="10">
      <c r="A10" s="40" t="n">
        <v>24.4</v>
      </c>
      <c r="B10" s="41" t="n">
        <v>4</v>
      </c>
      <c r="C10" s="42" t="n">
        <v>146.7</v>
      </c>
      <c r="D10" s="43" t="n">
        <v>62</v>
      </c>
      <c r="E10" s="44" t="n">
        <v>3.69</v>
      </c>
      <c r="F10" s="45" t="n">
        <v>3.19</v>
      </c>
      <c r="G10" s="46" t="n">
        <v>20</v>
      </c>
      <c r="H10" s="47" t="n">
        <v>1</v>
      </c>
      <c r="I10" s="48" t="n">
        <v>0</v>
      </c>
      <c r="J10" s="49" t="n">
        <v>4</v>
      </c>
      <c r="K10" s="50" t="n">
        <v>2</v>
      </c>
    </row>
    <row r="11">
      <c r="A11" s="40" t="n">
        <v>22.8</v>
      </c>
      <c r="B11" s="41" t="n">
        <v>4</v>
      </c>
      <c r="C11" s="42" t="n">
        <v>140.8</v>
      </c>
      <c r="D11" s="43" t="n">
        <v>95</v>
      </c>
      <c r="E11" s="44" t="n">
        <v>3.92</v>
      </c>
      <c r="F11" s="45" t="n">
        <v>3.15</v>
      </c>
      <c r="G11" s="46" t="n">
        <v>22.9</v>
      </c>
      <c r="H11" s="47" t="n">
        <v>1</v>
      </c>
      <c r="I11" s="48" t="n">
        <v>0</v>
      </c>
      <c r="J11" s="49" t="n">
        <v>4</v>
      </c>
      <c r="K11" s="50" t="n">
        <v>2</v>
      </c>
    </row>
    <row r="12">
      <c r="A12" s="40" t="n">
        <v>19.2</v>
      </c>
      <c r="B12" s="41" t="n">
        <v>6</v>
      </c>
      <c r="C12" s="42" t="n">
        <v>167.6</v>
      </c>
      <c r="D12" s="43" t="n">
        <v>123</v>
      </c>
      <c r="E12" s="44" t="n">
        <v>3.92</v>
      </c>
      <c r="F12" s="45" t="n">
        <v>3.44</v>
      </c>
      <c r="G12" s="46" t="n">
        <v>18.3</v>
      </c>
      <c r="H12" s="47" t="n">
        <v>1</v>
      </c>
      <c r="I12" s="48" t="n">
        <v>0</v>
      </c>
      <c r="J12" s="49" t="n">
        <v>4</v>
      </c>
      <c r="K12" s="50" t="n">
        <v>4</v>
      </c>
    </row>
    <row r="13">
      <c r="A13" s="40" t="n">
        <v>17.8</v>
      </c>
      <c r="B13" s="41" t="n">
        <v>6</v>
      </c>
      <c r="C13" s="42" t="n">
        <v>167.6</v>
      </c>
      <c r="D13" s="43" t="n">
        <v>123</v>
      </c>
      <c r="E13" s="44" t="n">
        <v>3.92</v>
      </c>
      <c r="F13" s="45" t="n">
        <v>3.44</v>
      </c>
      <c r="G13" s="46" t="n">
        <v>18.9</v>
      </c>
      <c r="H13" s="47" t="n">
        <v>1</v>
      </c>
      <c r="I13" s="48" t="n">
        <v>0</v>
      </c>
      <c r="J13" s="49" t="n">
        <v>4</v>
      </c>
      <c r="K13" s="50" t="n">
        <v>4</v>
      </c>
    </row>
    <row r="14">
      <c r="A14" s="40" t="n">
        <v>16.4</v>
      </c>
      <c r="B14" s="41" t="n">
        <v>8</v>
      </c>
      <c r="C14" s="42" t="n">
        <v>275.8</v>
      </c>
      <c r="D14" s="43" t="n">
        <v>180</v>
      </c>
      <c r="E14" s="44" t="n">
        <v>3.07</v>
      </c>
      <c r="F14" s="45" t="n">
        <v>4.07</v>
      </c>
      <c r="G14" s="46" t="n">
        <v>17.4</v>
      </c>
      <c r="H14" s="47" t="n">
        <v>0</v>
      </c>
      <c r="I14" s="48" t="n">
        <v>0</v>
      </c>
      <c r="J14" s="49" t="n">
        <v>3</v>
      </c>
      <c r="K14" s="50" t="n">
        <v>3</v>
      </c>
    </row>
    <row r="15">
      <c r="A15" s="40" t="n">
        <v>17.3</v>
      </c>
      <c r="B15" s="41" t="n">
        <v>8</v>
      </c>
      <c r="C15" s="42" t="n">
        <v>275.8</v>
      </c>
      <c r="D15" s="43" t="n">
        <v>180</v>
      </c>
      <c r="E15" s="44" t="n">
        <v>3.07</v>
      </c>
      <c r="F15" s="45" t="n">
        <v>3.73</v>
      </c>
      <c r="G15" s="46" t="n">
        <v>17.6</v>
      </c>
      <c r="H15" s="47" t="n">
        <v>0</v>
      </c>
      <c r="I15" s="48" t="n">
        <v>0</v>
      </c>
      <c r="J15" s="49" t="n">
        <v>3</v>
      </c>
      <c r="K15" s="50" t="n">
        <v>3</v>
      </c>
    </row>
    <row r="16">
      <c r="A16" s="40" t="n">
        <v>15.2</v>
      </c>
      <c r="B16" s="41" t="n">
        <v>8</v>
      </c>
      <c r="C16" s="42" t="n">
        <v>275.8</v>
      </c>
      <c r="D16" s="43" t="n">
        <v>180</v>
      </c>
      <c r="E16" s="44" t="n">
        <v>3.07</v>
      </c>
      <c r="F16" s="45" t="n">
        <v>3.78</v>
      </c>
      <c r="G16" s="46" t="n">
        <v>18</v>
      </c>
      <c r="H16" s="47" t="n">
        <v>0</v>
      </c>
      <c r="I16" s="48" t="n">
        <v>0</v>
      </c>
      <c r="J16" s="49" t="n">
        <v>3</v>
      </c>
      <c r="K16" s="50" t="n">
        <v>3</v>
      </c>
    </row>
    <row r="17">
      <c r="A17" s="40" t="n">
        <v>10.4</v>
      </c>
      <c r="B17" s="41" t="n">
        <v>8</v>
      </c>
      <c r="C17" s="42" t="n">
        <v>472</v>
      </c>
      <c r="D17" s="43" t="n">
        <v>205</v>
      </c>
      <c r="E17" s="44" t="n">
        <v>2.93</v>
      </c>
      <c r="F17" s="45" t="n">
        <v>5.25</v>
      </c>
      <c r="G17" s="46" t="n">
        <v>17.98</v>
      </c>
      <c r="H17" s="47" t="n">
        <v>0</v>
      </c>
      <c r="I17" s="48" t="n">
        <v>0</v>
      </c>
      <c r="J17" s="49" t="n">
        <v>3</v>
      </c>
      <c r="K17" s="50" t="n">
        <v>4</v>
      </c>
    </row>
    <row r="18">
      <c r="A18" s="40" t="n">
        <v>10.4</v>
      </c>
      <c r="B18" s="41" t="n">
        <v>8</v>
      </c>
      <c r="C18" s="42" t="n">
        <v>460</v>
      </c>
      <c r="D18" s="43" t="n">
        <v>215</v>
      </c>
      <c r="E18" s="44" t="n">
        <v>3</v>
      </c>
      <c r="F18" s="45" t="n">
        <v>5.424</v>
      </c>
      <c r="G18" s="46" t="n">
        <v>17.82</v>
      </c>
      <c r="H18" s="47" t="n">
        <v>0</v>
      </c>
      <c r="I18" s="48" t="n">
        <v>0</v>
      </c>
      <c r="J18" s="49" t="n">
        <v>3</v>
      </c>
      <c r="K18" s="50" t="n">
        <v>4</v>
      </c>
    </row>
    <row r="19">
      <c r="A19" s="40" t="n">
        <v>14.7</v>
      </c>
      <c r="B19" s="41" t="n">
        <v>8</v>
      </c>
      <c r="C19" s="42" t="n">
        <v>440</v>
      </c>
      <c r="D19" s="43" t="n">
        <v>230</v>
      </c>
      <c r="E19" s="44" t="n">
        <v>3.23</v>
      </c>
      <c r="F19" s="45" t="n">
        <v>5.345</v>
      </c>
      <c r="G19" s="46" t="n">
        <v>17.42</v>
      </c>
      <c r="H19" s="47" t="n">
        <v>0</v>
      </c>
      <c r="I19" s="48" t="n">
        <v>0</v>
      </c>
      <c r="J19" s="49" t="n">
        <v>3</v>
      </c>
      <c r="K19" s="50" t="n">
        <v>4</v>
      </c>
    </row>
    <row r="20">
      <c r="A20" s="40" t="n">
        <v>32.4</v>
      </c>
      <c r="B20" s="41" t="n">
        <v>4</v>
      </c>
      <c r="C20" s="42" t="n">
        <v>78.7</v>
      </c>
      <c r="D20" s="43" t="n">
        <v>66</v>
      </c>
      <c r="E20" s="44" t="n">
        <v>4.08</v>
      </c>
      <c r="F20" s="45" t="n">
        <v>2.2</v>
      </c>
      <c r="G20" s="46" t="n">
        <v>19.47</v>
      </c>
      <c r="H20" s="47" t="n">
        <v>1</v>
      </c>
      <c r="I20" s="48" t="n">
        <v>1</v>
      </c>
      <c r="J20" s="49" t="n">
        <v>4</v>
      </c>
      <c r="K20" s="50" t="n">
        <v>1</v>
      </c>
    </row>
    <row r="21">
      <c r="A21" s="40" t="n">
        <v>30.4</v>
      </c>
      <c r="B21" s="41" t="n">
        <v>4</v>
      </c>
      <c r="C21" s="42" t="n">
        <v>75.7</v>
      </c>
      <c r="D21" s="43" t="n">
        <v>52</v>
      </c>
      <c r="E21" s="44" t="n">
        <v>4.93</v>
      </c>
      <c r="F21" s="45" t="n">
        <v>1.615</v>
      </c>
      <c r="G21" s="46" t="n">
        <v>18.52</v>
      </c>
      <c r="H21" s="47" t="n">
        <v>1</v>
      </c>
      <c r="I21" s="48" t="n">
        <v>1</v>
      </c>
      <c r="J21" s="49" t="n">
        <v>4</v>
      </c>
      <c r="K21" s="50" t="n">
        <v>2</v>
      </c>
    </row>
    <row r="22">
      <c r="A22" s="40" t="n">
        <v>33.9</v>
      </c>
      <c r="B22" s="41" t="n">
        <v>4</v>
      </c>
      <c r="C22" s="42" t="n">
        <v>71.1</v>
      </c>
      <c r="D22" s="43" t="n">
        <v>65</v>
      </c>
      <c r="E22" s="44" t="n">
        <v>4.22</v>
      </c>
      <c r="F22" s="45" t="n">
        <v>1.835</v>
      </c>
      <c r="G22" s="46" t="n">
        <v>19.9</v>
      </c>
      <c r="H22" s="47" t="n">
        <v>1</v>
      </c>
      <c r="I22" s="48" t="n">
        <v>1</v>
      </c>
      <c r="J22" s="49" t="n">
        <v>4</v>
      </c>
      <c r="K22" s="50" t="n">
        <v>1</v>
      </c>
    </row>
    <row r="23">
      <c r="A23" s="40" t="n">
        <v>21.5</v>
      </c>
      <c r="B23" s="41" t="n">
        <v>4</v>
      </c>
      <c r="C23" s="42" t="n">
        <v>120.1</v>
      </c>
      <c r="D23" s="43" t="n">
        <v>97</v>
      </c>
      <c r="E23" s="44" t="n">
        <v>3.7</v>
      </c>
      <c r="F23" s="45" t="n">
        <v>2.465</v>
      </c>
      <c r="G23" s="46" t="n">
        <v>20.01</v>
      </c>
      <c r="H23" s="47" t="n">
        <v>1</v>
      </c>
      <c r="I23" s="48" t="n">
        <v>0</v>
      </c>
      <c r="J23" s="49" t="n">
        <v>3</v>
      </c>
      <c r="K23" s="50" t="n">
        <v>1</v>
      </c>
    </row>
    <row r="24">
      <c r="A24" s="40" t="n">
        <v>15.5</v>
      </c>
      <c r="B24" s="41" t="n">
        <v>8</v>
      </c>
      <c r="C24" s="42" t="n">
        <v>318</v>
      </c>
      <c r="D24" s="43" t="n">
        <v>150</v>
      </c>
      <c r="E24" s="44" t="n">
        <v>2.76</v>
      </c>
      <c r="F24" s="45" t="n">
        <v>3.52</v>
      </c>
      <c r="G24" s="46" t="n">
        <v>16.87</v>
      </c>
      <c r="H24" s="47" t="n">
        <v>0</v>
      </c>
      <c r="I24" s="48" t="n">
        <v>0</v>
      </c>
      <c r="J24" s="49" t="n">
        <v>3</v>
      </c>
      <c r="K24" s="50" t="n">
        <v>2</v>
      </c>
    </row>
    <row r="25">
      <c r="A25" s="40" t="n">
        <v>15.2</v>
      </c>
      <c r="B25" s="41" t="n">
        <v>8</v>
      </c>
      <c r="C25" s="42" t="n">
        <v>304</v>
      </c>
      <c r="D25" s="43" t="n">
        <v>150</v>
      </c>
      <c r="E25" s="44" t="n">
        <v>3.15</v>
      </c>
      <c r="F25" s="45" t="n">
        <v>3.435</v>
      </c>
      <c r="G25" s="46" t="n">
        <v>17.3</v>
      </c>
      <c r="H25" s="47" t="n">
        <v>0</v>
      </c>
      <c r="I25" s="48" t="n">
        <v>0</v>
      </c>
      <c r="J25" s="49" t="n">
        <v>3</v>
      </c>
      <c r="K25" s="50" t="n">
        <v>2</v>
      </c>
    </row>
    <row r="26">
      <c r="A26" s="40" t="n">
        <v>13.3</v>
      </c>
      <c r="B26" s="41" t="n">
        <v>8</v>
      </c>
      <c r="C26" s="42" t="n">
        <v>350</v>
      </c>
      <c r="D26" s="43" t="n">
        <v>245</v>
      </c>
      <c r="E26" s="44" t="n">
        <v>3.73</v>
      </c>
      <c r="F26" s="45" t="n">
        <v>3.84</v>
      </c>
      <c r="G26" s="46" t="n">
        <v>15.41</v>
      </c>
      <c r="H26" s="47" t="n">
        <v>0</v>
      </c>
      <c r="I26" s="48" t="n">
        <v>0</v>
      </c>
      <c r="J26" s="49" t="n">
        <v>3</v>
      </c>
      <c r="K26" s="50" t="n">
        <v>4</v>
      </c>
    </row>
    <row r="27">
      <c r="A27" s="40" t="n">
        <v>19.2</v>
      </c>
      <c r="B27" s="41" t="n">
        <v>8</v>
      </c>
      <c r="C27" s="42" t="n">
        <v>400</v>
      </c>
      <c r="D27" s="43" t="n">
        <v>175</v>
      </c>
      <c r="E27" s="44" t="n">
        <v>3.08</v>
      </c>
      <c r="F27" s="45" t="n">
        <v>3.845</v>
      </c>
      <c r="G27" s="46" t="n">
        <v>17.05</v>
      </c>
      <c r="H27" s="47" t="n">
        <v>0</v>
      </c>
      <c r="I27" s="48" t="n">
        <v>0</v>
      </c>
      <c r="J27" s="49" t="n">
        <v>3</v>
      </c>
      <c r="K27" s="50" t="n">
        <v>2</v>
      </c>
    </row>
    <row r="28">
      <c r="A28" s="40" t="n">
        <v>27.3</v>
      </c>
      <c r="B28" s="41" t="n">
        <v>4</v>
      </c>
      <c r="C28" s="42" t="n">
        <v>79</v>
      </c>
      <c r="D28" s="43" t="n">
        <v>66</v>
      </c>
      <c r="E28" s="44" t="n">
        <v>4.08</v>
      </c>
      <c r="F28" s="45" t="n">
        <v>1.935</v>
      </c>
      <c r="G28" s="46" t="n">
        <v>18.9</v>
      </c>
      <c r="H28" s="47" t="n">
        <v>1</v>
      </c>
      <c r="I28" s="48" t="n">
        <v>1</v>
      </c>
      <c r="J28" s="49" t="n">
        <v>4</v>
      </c>
      <c r="K28" s="50" t="n">
        <v>1</v>
      </c>
    </row>
    <row r="29">
      <c r="A29" s="40" t="n">
        <v>26</v>
      </c>
      <c r="B29" s="41" t="n">
        <v>4</v>
      </c>
      <c r="C29" s="42" t="n">
        <v>120.3</v>
      </c>
      <c r="D29" s="43" t="n">
        <v>91</v>
      </c>
      <c r="E29" s="44" t="n">
        <v>4.43</v>
      </c>
      <c r="F29" s="45" t="n">
        <v>2.14</v>
      </c>
      <c r="G29" s="46" t="n">
        <v>16.7</v>
      </c>
      <c r="H29" s="47" t="n">
        <v>0</v>
      </c>
      <c r="I29" s="48" t="n">
        <v>1</v>
      </c>
      <c r="J29" s="49" t="n">
        <v>5</v>
      </c>
      <c r="K29" s="50" t="n">
        <v>2</v>
      </c>
    </row>
    <row r="30">
      <c r="A30" s="40" t="n">
        <v>30.4</v>
      </c>
      <c r="B30" s="41" t="n">
        <v>4</v>
      </c>
      <c r="C30" s="42" t="n">
        <v>95.1</v>
      </c>
      <c r="D30" s="43" t="n">
        <v>113</v>
      </c>
      <c r="E30" s="44" t="n">
        <v>3.77</v>
      </c>
      <c r="F30" s="45" t="n">
        <v>1.513</v>
      </c>
      <c r="G30" s="46" t="n">
        <v>16.9</v>
      </c>
      <c r="H30" s="47" t="n">
        <v>1</v>
      </c>
      <c r="I30" s="48" t="n">
        <v>1</v>
      </c>
      <c r="J30" s="49" t="n">
        <v>5</v>
      </c>
      <c r="K30" s="50" t="n">
        <v>2</v>
      </c>
    </row>
    <row r="31">
      <c r="A31" s="40" t="n">
        <v>15.8</v>
      </c>
      <c r="B31" s="41" t="n">
        <v>8</v>
      </c>
      <c r="C31" s="42" t="n">
        <v>351</v>
      </c>
      <c r="D31" s="43" t="n">
        <v>264</v>
      </c>
      <c r="E31" s="44" t="n">
        <v>4.22</v>
      </c>
      <c r="F31" s="45" t="n">
        <v>3.17</v>
      </c>
      <c r="G31" s="46" t="n">
        <v>14.5</v>
      </c>
      <c r="H31" s="47" t="n">
        <v>0</v>
      </c>
      <c r="I31" s="48" t="n">
        <v>1</v>
      </c>
      <c r="J31" s="49" t="n">
        <v>5</v>
      </c>
      <c r="K31" s="50" t="n">
        <v>4</v>
      </c>
    </row>
    <row r="32">
      <c r="A32" s="40" t="n">
        <v>19.7</v>
      </c>
      <c r="B32" s="41" t="n">
        <v>6</v>
      </c>
      <c r="C32" s="42" t="n">
        <v>145</v>
      </c>
      <c r="D32" s="43" t="n">
        <v>175</v>
      </c>
      <c r="E32" s="44" t="n">
        <v>3.62</v>
      </c>
      <c r="F32" s="45" t="n">
        <v>2.77</v>
      </c>
      <c r="G32" s="46" t="n">
        <v>15.5</v>
      </c>
      <c r="H32" s="47" t="n">
        <v>0</v>
      </c>
      <c r="I32" s="48" t="n">
        <v>1</v>
      </c>
      <c r="J32" s="49" t="n">
        <v>5</v>
      </c>
      <c r="K32" s="50" t="n">
        <v>6</v>
      </c>
    </row>
    <row r="33">
      <c r="A33" s="40" t="n">
        <v>15</v>
      </c>
      <c r="B33" s="41" t="n">
        <v>8</v>
      </c>
      <c r="C33" s="42" t="n">
        <v>301</v>
      </c>
      <c r="D33" s="43" t="n">
        <v>335</v>
      </c>
      <c r="E33" s="44" t="n">
        <v>3.54</v>
      </c>
      <c r="F33" s="45" t="n">
        <v>3.57</v>
      </c>
      <c r="G33" s="46" t="n">
        <v>14.6</v>
      </c>
      <c r="H33" s="47" t="n">
        <v>0</v>
      </c>
      <c r="I33" s="48" t="n">
        <v>1</v>
      </c>
      <c r="J33" s="49" t="n">
        <v>5</v>
      </c>
      <c r="K33" s="50" t="n">
        <v>8</v>
      </c>
    </row>
    <row r="34">
      <c r="A34" s="62" t="n">
        <v>21.4</v>
      </c>
      <c r="B34" s="63" t="n">
        <v>4</v>
      </c>
      <c r="C34" s="64" t="n">
        <v>121</v>
      </c>
      <c r="D34" s="65" t="n">
        <v>109</v>
      </c>
      <c r="E34" s="66" t="n">
        <v>4.11</v>
      </c>
      <c r="F34" s="67" t="n">
        <v>2.78</v>
      </c>
      <c r="G34" s="68" t="n">
        <v>18.6</v>
      </c>
      <c r="H34" s="69" t="n">
        <v>1</v>
      </c>
      <c r="I34" s="70" t="n">
        <v>1</v>
      </c>
      <c r="J34" s="71" t="n">
        <v>4</v>
      </c>
      <c r="K34" s="72" t="n">
        <v>2</v>
      </c>
    </row>
    <row r="35">
      <c r="A35" s="37" t="str">
        <f>=HYPERLINK("#'Table of Contents'!A1", "TOC")</f>
      </c>
      <c r="B35" s="41"/>
      <c r="C35" s="42"/>
      <c r="D35" s="43"/>
      <c r="E35" s="44"/>
      <c r="F35" s="45"/>
      <c r="G35" s="46"/>
      <c r="H35" s="47"/>
      <c r="I35" s="48"/>
      <c r="J35" s="49"/>
      <c r="K35" s="50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13</v>
      </c>
    </row>
    <row r="2">
      <c r="A2" s="73" t="s">
        <v>0</v>
      </c>
      <c r="B2" s="73" t="s">
        <v>1</v>
      </c>
      <c r="C2" s="73" t="s">
        <v>2</v>
      </c>
      <c r="D2" s="73" t="s">
        <v>3</v>
      </c>
      <c r="E2" s="73" t="s">
        <v>4</v>
      </c>
      <c r="F2" s="73" t="s">
        <v>5</v>
      </c>
      <c r="G2" s="73" t="s">
        <v>6</v>
      </c>
      <c r="H2" s="73" t="s">
        <v>7</v>
      </c>
      <c r="I2" s="73" t="s">
        <v>8</v>
      </c>
      <c r="J2" s="73" t="s">
        <v>9</v>
      </c>
      <c r="K2" s="73" t="s">
        <v>10</v>
      </c>
    </row>
    <row r="3">
      <c r="A3" s="85" t="n">
        <v>21</v>
      </c>
      <c r="B3" s="86" t="n">
        <v>6</v>
      </c>
      <c r="C3" s="87" t="n">
        <v>160</v>
      </c>
      <c r="D3" s="88" t="n">
        <v>110</v>
      </c>
      <c r="E3" s="89" t="n">
        <v>3.9</v>
      </c>
      <c r="F3" s="90" t="n">
        <v>2.62</v>
      </c>
      <c r="G3" s="91" t="n">
        <v>16.46</v>
      </c>
      <c r="H3" s="92" t="n">
        <v>0</v>
      </c>
      <c r="I3" s="93" t="n">
        <v>1</v>
      </c>
      <c r="J3" s="94" t="n">
        <v>4</v>
      </c>
      <c r="K3" s="95" t="n">
        <v>4</v>
      </c>
    </row>
    <row r="4">
      <c r="A4" s="74" t="n">
        <v>21</v>
      </c>
      <c r="B4" s="75" t="n">
        <v>6</v>
      </c>
      <c r="C4" s="76" t="n">
        <v>160</v>
      </c>
      <c r="D4" s="77" t="n">
        <v>110</v>
      </c>
      <c r="E4" s="78" t="n">
        <v>3.9</v>
      </c>
      <c r="F4" s="79" t="n">
        <v>2.875</v>
      </c>
      <c r="G4" s="80" t="n">
        <v>17.02</v>
      </c>
      <c r="H4" s="81" t="n">
        <v>0</v>
      </c>
      <c r="I4" s="82" t="n">
        <v>1</v>
      </c>
      <c r="J4" s="83" t="n">
        <v>4</v>
      </c>
      <c r="K4" s="84" t="n">
        <v>4</v>
      </c>
    </row>
    <row r="5">
      <c r="A5" s="74" t="n">
        <v>22.8</v>
      </c>
      <c r="B5" s="75" t="n">
        <v>4</v>
      </c>
      <c r="C5" s="76" t="n">
        <v>108</v>
      </c>
      <c r="D5" s="77" t="n">
        <v>93</v>
      </c>
      <c r="E5" s="78" t="n">
        <v>3.85</v>
      </c>
      <c r="F5" s="79" t="n">
        <v>2.32</v>
      </c>
      <c r="G5" s="80" t="n">
        <v>18.61</v>
      </c>
      <c r="H5" s="81" t="n">
        <v>1</v>
      </c>
      <c r="I5" s="82" t="n">
        <v>1</v>
      </c>
      <c r="J5" s="83" t="n">
        <v>4</v>
      </c>
      <c r="K5" s="84" t="n">
        <v>1</v>
      </c>
    </row>
    <row r="6">
      <c r="A6" s="74" t="n">
        <v>21.4</v>
      </c>
      <c r="B6" s="75" t="n">
        <v>6</v>
      </c>
      <c r="C6" s="76" t="n">
        <v>258</v>
      </c>
      <c r="D6" s="77" t="n">
        <v>110</v>
      </c>
      <c r="E6" s="78" t="n">
        <v>3.08</v>
      </c>
      <c r="F6" s="79" t="n">
        <v>3.215</v>
      </c>
      <c r="G6" s="80" t="n">
        <v>19.44</v>
      </c>
      <c r="H6" s="81" t="n">
        <v>1</v>
      </c>
      <c r="I6" s="82" t="n">
        <v>0</v>
      </c>
      <c r="J6" s="83" t="n">
        <v>3</v>
      </c>
      <c r="K6" s="84" t="n">
        <v>1</v>
      </c>
    </row>
    <row r="7">
      <c r="A7" s="74" t="n">
        <v>18.7</v>
      </c>
      <c r="B7" s="75" t="n">
        <v>8</v>
      </c>
      <c r="C7" s="76" t="n">
        <v>360</v>
      </c>
      <c r="D7" s="77" t="n">
        <v>175</v>
      </c>
      <c r="E7" s="78" t="n">
        <v>3.15</v>
      </c>
      <c r="F7" s="79" t="n">
        <v>3.44</v>
      </c>
      <c r="G7" s="80" t="n">
        <v>17.02</v>
      </c>
      <c r="H7" s="81" t="n">
        <v>0</v>
      </c>
      <c r="I7" s="82" t="n">
        <v>0</v>
      </c>
      <c r="J7" s="83" t="n">
        <v>3</v>
      </c>
      <c r="K7" s="84" t="n">
        <v>2</v>
      </c>
    </row>
    <row r="8">
      <c r="A8" s="74" t="n">
        <v>18.1</v>
      </c>
      <c r="B8" s="75" t="n">
        <v>6</v>
      </c>
      <c r="C8" s="76" t="n">
        <v>225</v>
      </c>
      <c r="D8" s="77" t="n">
        <v>105</v>
      </c>
      <c r="E8" s="78" t="n">
        <v>2.76</v>
      </c>
      <c r="F8" s="79" t="n">
        <v>3.46</v>
      </c>
      <c r="G8" s="80" t="n">
        <v>20.22</v>
      </c>
      <c r="H8" s="81" t="n">
        <v>1</v>
      </c>
      <c r="I8" s="82" t="n">
        <v>0</v>
      </c>
      <c r="J8" s="83" t="n">
        <v>3</v>
      </c>
      <c r="K8" s="84" t="n">
        <v>1</v>
      </c>
    </row>
    <row r="9">
      <c r="A9" s="74" t="n">
        <v>14.3</v>
      </c>
      <c r="B9" s="75" t="n">
        <v>8</v>
      </c>
      <c r="C9" s="76" t="n">
        <v>360</v>
      </c>
      <c r="D9" s="77" t="n">
        <v>245</v>
      </c>
      <c r="E9" s="78" t="n">
        <v>3.21</v>
      </c>
      <c r="F9" s="79" t="n">
        <v>3.57</v>
      </c>
      <c r="G9" s="80" t="n">
        <v>15.84</v>
      </c>
      <c r="H9" s="81" t="n">
        <v>0</v>
      </c>
      <c r="I9" s="82" t="n">
        <v>0</v>
      </c>
      <c r="J9" s="83" t="n">
        <v>3</v>
      </c>
      <c r="K9" s="84" t="n">
        <v>4</v>
      </c>
    </row>
    <row r="10">
      <c r="A10" s="74" t="n">
        <v>24.4</v>
      </c>
      <c r="B10" s="75" t="n">
        <v>4</v>
      </c>
      <c r="C10" s="76" t="n">
        <v>146.7</v>
      </c>
      <c r="D10" s="77" t="n">
        <v>62</v>
      </c>
      <c r="E10" s="78" t="n">
        <v>3.69</v>
      </c>
      <c r="F10" s="79" t="n">
        <v>3.19</v>
      </c>
      <c r="G10" s="80" t="n">
        <v>20</v>
      </c>
      <c r="H10" s="81" t="n">
        <v>1</v>
      </c>
      <c r="I10" s="82" t="n">
        <v>0</v>
      </c>
      <c r="J10" s="83" t="n">
        <v>4</v>
      </c>
      <c r="K10" s="84" t="n">
        <v>2</v>
      </c>
    </row>
    <row r="11">
      <c r="A11" s="74" t="n">
        <v>22.8</v>
      </c>
      <c r="B11" s="75" t="n">
        <v>4</v>
      </c>
      <c r="C11" s="76" t="n">
        <v>140.8</v>
      </c>
      <c r="D11" s="77" t="n">
        <v>95</v>
      </c>
      <c r="E11" s="78" t="n">
        <v>3.92</v>
      </c>
      <c r="F11" s="79" t="n">
        <v>3.15</v>
      </c>
      <c r="G11" s="80" t="n">
        <v>22.9</v>
      </c>
      <c r="H11" s="81" t="n">
        <v>1</v>
      </c>
      <c r="I11" s="82" t="n">
        <v>0</v>
      </c>
      <c r="J11" s="83" t="n">
        <v>4</v>
      </c>
      <c r="K11" s="84" t="n">
        <v>2</v>
      </c>
    </row>
    <row r="12">
      <c r="A12" s="74" t="n">
        <v>19.2</v>
      </c>
      <c r="B12" s="75" t="n">
        <v>6</v>
      </c>
      <c r="C12" s="76" t="n">
        <v>167.6</v>
      </c>
      <c r="D12" s="77" t="n">
        <v>123</v>
      </c>
      <c r="E12" s="78" t="n">
        <v>3.92</v>
      </c>
      <c r="F12" s="79" t="n">
        <v>3.44</v>
      </c>
      <c r="G12" s="80" t="n">
        <v>18.3</v>
      </c>
      <c r="H12" s="81" t="n">
        <v>1</v>
      </c>
      <c r="I12" s="82" t="n">
        <v>0</v>
      </c>
      <c r="J12" s="83" t="n">
        <v>4</v>
      </c>
      <c r="K12" s="84" t="n">
        <v>4</v>
      </c>
    </row>
    <row r="13">
      <c r="A13" s="74" t="n">
        <v>17.8</v>
      </c>
      <c r="B13" s="75" t="n">
        <v>6</v>
      </c>
      <c r="C13" s="76" t="n">
        <v>167.6</v>
      </c>
      <c r="D13" s="77" t="n">
        <v>123</v>
      </c>
      <c r="E13" s="78" t="n">
        <v>3.92</v>
      </c>
      <c r="F13" s="79" t="n">
        <v>3.44</v>
      </c>
      <c r="G13" s="80" t="n">
        <v>18.9</v>
      </c>
      <c r="H13" s="81" t="n">
        <v>1</v>
      </c>
      <c r="I13" s="82" t="n">
        <v>0</v>
      </c>
      <c r="J13" s="83" t="n">
        <v>4</v>
      </c>
      <c r="K13" s="84" t="n">
        <v>4</v>
      </c>
    </row>
    <row r="14">
      <c r="A14" s="74" t="n">
        <v>16.4</v>
      </c>
      <c r="B14" s="75" t="n">
        <v>8</v>
      </c>
      <c r="C14" s="76" t="n">
        <v>275.8</v>
      </c>
      <c r="D14" s="77" t="n">
        <v>180</v>
      </c>
      <c r="E14" s="78" t="n">
        <v>3.07</v>
      </c>
      <c r="F14" s="79" t="n">
        <v>4.07</v>
      </c>
      <c r="G14" s="80" t="n">
        <v>17.4</v>
      </c>
      <c r="H14" s="81" t="n">
        <v>0</v>
      </c>
      <c r="I14" s="82" t="n">
        <v>0</v>
      </c>
      <c r="J14" s="83" t="n">
        <v>3</v>
      </c>
      <c r="K14" s="84" t="n">
        <v>3</v>
      </c>
    </row>
    <row r="15">
      <c r="A15" s="74" t="n">
        <v>17.3</v>
      </c>
      <c r="B15" s="75" t="n">
        <v>8</v>
      </c>
      <c r="C15" s="76" t="n">
        <v>275.8</v>
      </c>
      <c r="D15" s="77" t="n">
        <v>180</v>
      </c>
      <c r="E15" s="78" t="n">
        <v>3.07</v>
      </c>
      <c r="F15" s="79" t="n">
        <v>3.73</v>
      </c>
      <c r="G15" s="80" t="n">
        <v>17.6</v>
      </c>
      <c r="H15" s="81" t="n">
        <v>0</v>
      </c>
      <c r="I15" s="82" t="n">
        <v>0</v>
      </c>
      <c r="J15" s="83" t="n">
        <v>3</v>
      </c>
      <c r="K15" s="84" t="n">
        <v>3</v>
      </c>
    </row>
    <row r="16">
      <c r="A16" s="74" t="n">
        <v>15.2</v>
      </c>
      <c r="B16" s="75" t="n">
        <v>8</v>
      </c>
      <c r="C16" s="76" t="n">
        <v>275.8</v>
      </c>
      <c r="D16" s="77" t="n">
        <v>180</v>
      </c>
      <c r="E16" s="78" t="n">
        <v>3.07</v>
      </c>
      <c r="F16" s="79" t="n">
        <v>3.78</v>
      </c>
      <c r="G16" s="80" t="n">
        <v>18</v>
      </c>
      <c r="H16" s="81" t="n">
        <v>0</v>
      </c>
      <c r="I16" s="82" t="n">
        <v>0</v>
      </c>
      <c r="J16" s="83" t="n">
        <v>3</v>
      </c>
      <c r="K16" s="84" t="n">
        <v>3</v>
      </c>
    </row>
    <row r="17">
      <c r="A17" s="74" t="n">
        <v>10.4</v>
      </c>
      <c r="B17" s="75" t="n">
        <v>8</v>
      </c>
      <c r="C17" s="76" t="n">
        <v>472</v>
      </c>
      <c r="D17" s="77" t="n">
        <v>205</v>
      </c>
      <c r="E17" s="78" t="n">
        <v>2.93</v>
      </c>
      <c r="F17" s="79" t="n">
        <v>5.25</v>
      </c>
      <c r="G17" s="80" t="n">
        <v>17.98</v>
      </c>
      <c r="H17" s="81" t="n">
        <v>0</v>
      </c>
      <c r="I17" s="82" t="n">
        <v>0</v>
      </c>
      <c r="J17" s="83" t="n">
        <v>3</v>
      </c>
      <c r="K17" s="84" t="n">
        <v>4</v>
      </c>
    </row>
    <row r="18">
      <c r="A18" s="74" t="n">
        <v>10.4</v>
      </c>
      <c r="B18" s="75" t="n">
        <v>8</v>
      </c>
      <c r="C18" s="76" t="n">
        <v>460</v>
      </c>
      <c r="D18" s="77" t="n">
        <v>215</v>
      </c>
      <c r="E18" s="78" t="n">
        <v>3</v>
      </c>
      <c r="F18" s="79" t="n">
        <v>5.424</v>
      </c>
      <c r="G18" s="80" t="n">
        <v>17.82</v>
      </c>
      <c r="H18" s="81" t="n">
        <v>0</v>
      </c>
      <c r="I18" s="82" t="n">
        <v>0</v>
      </c>
      <c r="J18" s="83" t="n">
        <v>3</v>
      </c>
      <c r="K18" s="84" t="n">
        <v>4</v>
      </c>
    </row>
    <row r="19">
      <c r="A19" s="74" t="n">
        <v>14.7</v>
      </c>
      <c r="B19" s="75" t="n">
        <v>8</v>
      </c>
      <c r="C19" s="76" t="n">
        <v>440</v>
      </c>
      <c r="D19" s="77" t="n">
        <v>230</v>
      </c>
      <c r="E19" s="78" t="n">
        <v>3.23</v>
      </c>
      <c r="F19" s="79" t="n">
        <v>5.345</v>
      </c>
      <c r="G19" s="80" t="n">
        <v>17.42</v>
      </c>
      <c r="H19" s="81" t="n">
        <v>0</v>
      </c>
      <c r="I19" s="82" t="n">
        <v>0</v>
      </c>
      <c r="J19" s="83" t="n">
        <v>3</v>
      </c>
      <c r="K19" s="84" t="n">
        <v>4</v>
      </c>
    </row>
    <row r="20">
      <c r="A20" s="74" t="n">
        <v>32.4</v>
      </c>
      <c r="B20" s="75" t="n">
        <v>4</v>
      </c>
      <c r="C20" s="76" t="n">
        <v>78.7</v>
      </c>
      <c r="D20" s="77" t="n">
        <v>66</v>
      </c>
      <c r="E20" s="78" t="n">
        <v>4.08</v>
      </c>
      <c r="F20" s="79" t="n">
        <v>2.2</v>
      </c>
      <c r="G20" s="80" t="n">
        <v>19.47</v>
      </c>
      <c r="H20" s="81" t="n">
        <v>1</v>
      </c>
      <c r="I20" s="82" t="n">
        <v>1</v>
      </c>
      <c r="J20" s="83" t="n">
        <v>4</v>
      </c>
      <c r="K20" s="84" t="n">
        <v>1</v>
      </c>
    </row>
    <row r="21">
      <c r="A21" s="74" t="n">
        <v>30.4</v>
      </c>
      <c r="B21" s="75" t="n">
        <v>4</v>
      </c>
      <c r="C21" s="76" t="n">
        <v>75.7</v>
      </c>
      <c r="D21" s="77" t="n">
        <v>52</v>
      </c>
      <c r="E21" s="78" t="n">
        <v>4.93</v>
      </c>
      <c r="F21" s="79" t="n">
        <v>1.615</v>
      </c>
      <c r="G21" s="80" t="n">
        <v>18.52</v>
      </c>
      <c r="H21" s="81" t="n">
        <v>1</v>
      </c>
      <c r="I21" s="82" t="n">
        <v>1</v>
      </c>
      <c r="J21" s="83" t="n">
        <v>4</v>
      </c>
      <c r="K21" s="84" t="n">
        <v>2</v>
      </c>
    </row>
    <row r="22">
      <c r="A22" s="74" t="n">
        <v>33.9</v>
      </c>
      <c r="B22" s="75" t="n">
        <v>4</v>
      </c>
      <c r="C22" s="76" t="n">
        <v>71.1</v>
      </c>
      <c r="D22" s="77" t="n">
        <v>65</v>
      </c>
      <c r="E22" s="78" t="n">
        <v>4.22</v>
      </c>
      <c r="F22" s="79" t="n">
        <v>1.835</v>
      </c>
      <c r="G22" s="80" t="n">
        <v>19.9</v>
      </c>
      <c r="H22" s="81" t="n">
        <v>1</v>
      </c>
      <c r="I22" s="82" t="n">
        <v>1</v>
      </c>
      <c r="J22" s="83" t="n">
        <v>4</v>
      </c>
      <c r="K22" s="84" t="n">
        <v>1</v>
      </c>
    </row>
    <row r="23">
      <c r="A23" s="74" t="n">
        <v>21.5</v>
      </c>
      <c r="B23" s="75" t="n">
        <v>4</v>
      </c>
      <c r="C23" s="76" t="n">
        <v>120.1</v>
      </c>
      <c r="D23" s="77" t="n">
        <v>97</v>
      </c>
      <c r="E23" s="78" t="n">
        <v>3.7</v>
      </c>
      <c r="F23" s="79" t="n">
        <v>2.465</v>
      </c>
      <c r="G23" s="80" t="n">
        <v>20.01</v>
      </c>
      <c r="H23" s="81" t="n">
        <v>1</v>
      </c>
      <c r="I23" s="82" t="n">
        <v>0</v>
      </c>
      <c r="J23" s="83" t="n">
        <v>3</v>
      </c>
      <c r="K23" s="84" t="n">
        <v>1</v>
      </c>
    </row>
    <row r="24">
      <c r="A24" s="74" t="n">
        <v>15.5</v>
      </c>
      <c r="B24" s="75" t="n">
        <v>8</v>
      </c>
      <c r="C24" s="76" t="n">
        <v>318</v>
      </c>
      <c r="D24" s="77" t="n">
        <v>150</v>
      </c>
      <c r="E24" s="78" t="n">
        <v>2.76</v>
      </c>
      <c r="F24" s="79" t="n">
        <v>3.52</v>
      </c>
      <c r="G24" s="80" t="n">
        <v>16.87</v>
      </c>
      <c r="H24" s="81" t="n">
        <v>0</v>
      </c>
      <c r="I24" s="82" t="n">
        <v>0</v>
      </c>
      <c r="J24" s="83" t="n">
        <v>3</v>
      </c>
      <c r="K24" s="84" t="n">
        <v>2</v>
      </c>
    </row>
    <row r="25">
      <c r="A25" s="74" t="n">
        <v>15.2</v>
      </c>
      <c r="B25" s="75" t="n">
        <v>8</v>
      </c>
      <c r="C25" s="76" t="n">
        <v>304</v>
      </c>
      <c r="D25" s="77" t="n">
        <v>150</v>
      </c>
      <c r="E25" s="78" t="n">
        <v>3.15</v>
      </c>
      <c r="F25" s="79" t="n">
        <v>3.435</v>
      </c>
      <c r="G25" s="80" t="n">
        <v>17.3</v>
      </c>
      <c r="H25" s="81" t="n">
        <v>0</v>
      </c>
      <c r="I25" s="82" t="n">
        <v>0</v>
      </c>
      <c r="J25" s="83" t="n">
        <v>3</v>
      </c>
      <c r="K25" s="84" t="n">
        <v>2</v>
      </c>
    </row>
    <row r="26">
      <c r="A26" s="74" t="n">
        <v>13.3</v>
      </c>
      <c r="B26" s="75" t="n">
        <v>8</v>
      </c>
      <c r="C26" s="76" t="n">
        <v>350</v>
      </c>
      <c r="D26" s="77" t="n">
        <v>245</v>
      </c>
      <c r="E26" s="78" t="n">
        <v>3.73</v>
      </c>
      <c r="F26" s="79" t="n">
        <v>3.84</v>
      </c>
      <c r="G26" s="80" t="n">
        <v>15.41</v>
      </c>
      <c r="H26" s="81" t="n">
        <v>0</v>
      </c>
      <c r="I26" s="82" t="n">
        <v>0</v>
      </c>
      <c r="J26" s="83" t="n">
        <v>3</v>
      </c>
      <c r="K26" s="84" t="n">
        <v>4</v>
      </c>
    </row>
    <row r="27">
      <c r="A27" s="74" t="n">
        <v>19.2</v>
      </c>
      <c r="B27" s="75" t="n">
        <v>8</v>
      </c>
      <c r="C27" s="76" t="n">
        <v>400</v>
      </c>
      <c r="D27" s="77" t="n">
        <v>175</v>
      </c>
      <c r="E27" s="78" t="n">
        <v>3.08</v>
      </c>
      <c r="F27" s="79" t="n">
        <v>3.845</v>
      </c>
      <c r="G27" s="80" t="n">
        <v>17.05</v>
      </c>
      <c r="H27" s="81" t="n">
        <v>0</v>
      </c>
      <c r="I27" s="82" t="n">
        <v>0</v>
      </c>
      <c r="J27" s="83" t="n">
        <v>3</v>
      </c>
      <c r="K27" s="84" t="n">
        <v>2</v>
      </c>
    </row>
    <row r="28">
      <c r="A28" s="74" t="n">
        <v>27.3</v>
      </c>
      <c r="B28" s="75" t="n">
        <v>4</v>
      </c>
      <c r="C28" s="76" t="n">
        <v>79</v>
      </c>
      <c r="D28" s="77" t="n">
        <v>66</v>
      </c>
      <c r="E28" s="78" t="n">
        <v>4.08</v>
      </c>
      <c r="F28" s="79" t="n">
        <v>1.935</v>
      </c>
      <c r="G28" s="80" t="n">
        <v>18.9</v>
      </c>
      <c r="H28" s="81" t="n">
        <v>1</v>
      </c>
      <c r="I28" s="82" t="n">
        <v>1</v>
      </c>
      <c r="J28" s="83" t="n">
        <v>4</v>
      </c>
      <c r="K28" s="84" t="n">
        <v>1</v>
      </c>
    </row>
    <row r="29">
      <c r="A29" s="74" t="n">
        <v>26</v>
      </c>
      <c r="B29" s="75" t="n">
        <v>4</v>
      </c>
      <c r="C29" s="76" t="n">
        <v>120.3</v>
      </c>
      <c r="D29" s="77" t="n">
        <v>91</v>
      </c>
      <c r="E29" s="78" t="n">
        <v>4.43</v>
      </c>
      <c r="F29" s="79" t="n">
        <v>2.14</v>
      </c>
      <c r="G29" s="80" t="n">
        <v>16.7</v>
      </c>
      <c r="H29" s="81" t="n">
        <v>0</v>
      </c>
      <c r="I29" s="82" t="n">
        <v>1</v>
      </c>
      <c r="J29" s="83" t="n">
        <v>5</v>
      </c>
      <c r="K29" s="84" t="n">
        <v>2</v>
      </c>
    </row>
    <row r="30">
      <c r="A30" s="74" t="n">
        <v>30.4</v>
      </c>
      <c r="B30" s="75" t="n">
        <v>4</v>
      </c>
      <c r="C30" s="76" t="n">
        <v>95.1</v>
      </c>
      <c r="D30" s="77" t="n">
        <v>113</v>
      </c>
      <c r="E30" s="78" t="n">
        <v>3.77</v>
      </c>
      <c r="F30" s="79" t="n">
        <v>1.513</v>
      </c>
      <c r="G30" s="80" t="n">
        <v>16.9</v>
      </c>
      <c r="H30" s="81" t="n">
        <v>1</v>
      </c>
      <c r="I30" s="82" t="n">
        <v>1</v>
      </c>
      <c r="J30" s="83" t="n">
        <v>5</v>
      </c>
      <c r="K30" s="84" t="n">
        <v>2</v>
      </c>
    </row>
    <row r="31">
      <c r="A31" s="74" t="n">
        <v>15.8</v>
      </c>
      <c r="B31" s="75" t="n">
        <v>8</v>
      </c>
      <c r="C31" s="76" t="n">
        <v>351</v>
      </c>
      <c r="D31" s="77" t="n">
        <v>264</v>
      </c>
      <c r="E31" s="78" t="n">
        <v>4.22</v>
      </c>
      <c r="F31" s="79" t="n">
        <v>3.17</v>
      </c>
      <c r="G31" s="80" t="n">
        <v>14.5</v>
      </c>
      <c r="H31" s="81" t="n">
        <v>0</v>
      </c>
      <c r="I31" s="82" t="n">
        <v>1</v>
      </c>
      <c r="J31" s="83" t="n">
        <v>5</v>
      </c>
      <c r="K31" s="84" t="n">
        <v>4</v>
      </c>
    </row>
    <row r="32">
      <c r="A32" s="74" t="n">
        <v>19.7</v>
      </c>
      <c r="B32" s="75" t="n">
        <v>6</v>
      </c>
      <c r="C32" s="76" t="n">
        <v>145</v>
      </c>
      <c r="D32" s="77" t="n">
        <v>175</v>
      </c>
      <c r="E32" s="78" t="n">
        <v>3.62</v>
      </c>
      <c r="F32" s="79" t="n">
        <v>2.77</v>
      </c>
      <c r="G32" s="80" t="n">
        <v>15.5</v>
      </c>
      <c r="H32" s="81" t="n">
        <v>0</v>
      </c>
      <c r="I32" s="82" t="n">
        <v>1</v>
      </c>
      <c r="J32" s="83" t="n">
        <v>5</v>
      </c>
      <c r="K32" s="84" t="n">
        <v>6</v>
      </c>
    </row>
    <row r="33">
      <c r="A33" s="74" t="n">
        <v>15</v>
      </c>
      <c r="B33" s="75" t="n">
        <v>8</v>
      </c>
      <c r="C33" s="76" t="n">
        <v>301</v>
      </c>
      <c r="D33" s="77" t="n">
        <v>335</v>
      </c>
      <c r="E33" s="78" t="n">
        <v>3.54</v>
      </c>
      <c r="F33" s="79" t="n">
        <v>3.57</v>
      </c>
      <c r="G33" s="80" t="n">
        <v>14.6</v>
      </c>
      <c r="H33" s="81" t="n">
        <v>0</v>
      </c>
      <c r="I33" s="82" t="n">
        <v>1</v>
      </c>
      <c r="J33" s="83" t="n">
        <v>5</v>
      </c>
      <c r="K33" s="84" t="n">
        <v>8</v>
      </c>
    </row>
    <row r="34">
      <c r="A34" s="96" t="n">
        <v>21.4</v>
      </c>
      <c r="B34" s="97" t="n">
        <v>4</v>
      </c>
      <c r="C34" s="98" t="n">
        <v>121</v>
      </c>
      <c r="D34" s="99" t="n">
        <v>109</v>
      </c>
      <c r="E34" s="100" t="n">
        <v>4.11</v>
      </c>
      <c r="F34" s="101" t="n">
        <v>2.78</v>
      </c>
      <c r="G34" s="102" t="n">
        <v>18.6</v>
      </c>
      <c r="H34" s="103" t="n">
        <v>1</v>
      </c>
      <c r="I34" s="104" t="n">
        <v>1</v>
      </c>
      <c r="J34" s="105" t="n">
        <v>4</v>
      </c>
      <c r="K34" s="106" t="n">
        <v>2</v>
      </c>
    </row>
    <row r="35">
      <c r="A35" s="37" t="str">
        <f>=HYPERLINK("#'Table of Contents'!A1", "TOC")</f>
      </c>
      <c r="B35" s="75"/>
      <c r="C35" s="76"/>
      <c r="D35" s="77"/>
      <c r="E35" s="78"/>
      <c r="F35" s="79"/>
      <c r="G35" s="80"/>
      <c r="H35" s="81"/>
      <c r="I35" s="82"/>
      <c r="J35" s="83"/>
      <c r="K35" s="84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" t="s">
        <v>13</v>
      </c>
    </row>
    <row r="2">
      <c r="A2" s="73" t="s">
        <v>0</v>
      </c>
      <c r="B2" s="73" t="s">
        <v>1</v>
      </c>
      <c r="C2" s="73" t="s">
        <v>2</v>
      </c>
      <c r="D2" s="73" t="s">
        <v>3</v>
      </c>
      <c r="E2" s="73" t="s">
        <v>4</v>
      </c>
      <c r="F2" s="73" t="s">
        <v>5</v>
      </c>
      <c r="G2" s="73" t="s">
        <v>6</v>
      </c>
      <c r="H2" s="73" t="s">
        <v>7</v>
      </c>
      <c r="I2" s="73" t="s">
        <v>8</v>
      </c>
      <c r="J2" s="73" t="s">
        <v>9</v>
      </c>
      <c r="K2" s="73" t="s">
        <v>10</v>
      </c>
    </row>
    <row r="3">
      <c r="A3" s="118" t="n">
        <v>21</v>
      </c>
      <c r="B3" s="119" t="n">
        <v>6</v>
      </c>
      <c r="C3" s="120" t="n">
        <v>160</v>
      </c>
      <c r="D3" s="121" t="n">
        <v>110</v>
      </c>
      <c r="E3" s="122" t="n">
        <v>3.9</v>
      </c>
      <c r="F3" s="123" t="n">
        <v>2.62</v>
      </c>
      <c r="G3" s="124" t="n">
        <v>16.46</v>
      </c>
      <c r="H3" s="125" t="n">
        <v>0</v>
      </c>
      <c r="I3" s="126" t="n">
        <v>1</v>
      </c>
      <c r="J3" s="127" t="n">
        <v>4</v>
      </c>
      <c r="K3" s="128" t="n">
        <v>4</v>
      </c>
    </row>
    <row r="4">
      <c r="A4" s="107" t="n">
        <v>21</v>
      </c>
      <c r="B4" s="108" t="n">
        <v>6</v>
      </c>
      <c r="C4" s="109" t="n">
        <v>160</v>
      </c>
      <c r="D4" s="110" t="n">
        <v>110</v>
      </c>
      <c r="E4" s="111" t="n">
        <v>3.9</v>
      </c>
      <c r="F4" s="112" t="n">
        <v>2.875</v>
      </c>
      <c r="G4" s="113" t="n">
        <v>17.02</v>
      </c>
      <c r="H4" s="114" t="n">
        <v>0</v>
      </c>
      <c r="I4" s="115" t="n">
        <v>1</v>
      </c>
      <c r="J4" s="116" t="n">
        <v>4</v>
      </c>
      <c r="K4" s="117" t="n">
        <v>4</v>
      </c>
    </row>
    <row r="5">
      <c r="A5" s="107" t="n">
        <v>22.8</v>
      </c>
      <c r="B5" s="108" t="n">
        <v>4</v>
      </c>
      <c r="C5" s="109" t="n">
        <v>108</v>
      </c>
      <c r="D5" s="110" t="n">
        <v>93</v>
      </c>
      <c r="E5" s="111" t="n">
        <v>3.85</v>
      </c>
      <c r="F5" s="112" t="n">
        <v>2.32</v>
      </c>
      <c r="G5" s="113" t="n">
        <v>18.61</v>
      </c>
      <c r="H5" s="114" t="n">
        <v>1</v>
      </c>
      <c r="I5" s="115" t="n">
        <v>1</v>
      </c>
      <c r="J5" s="116" t="n">
        <v>4</v>
      </c>
      <c r="K5" s="117" t="n">
        <v>1</v>
      </c>
    </row>
    <row r="6">
      <c r="A6" s="107" t="n">
        <v>21.4</v>
      </c>
      <c r="B6" s="108" t="n">
        <v>6</v>
      </c>
      <c r="C6" s="109" t="n">
        <v>258</v>
      </c>
      <c r="D6" s="110" t="n">
        <v>110</v>
      </c>
      <c r="E6" s="111" t="n">
        <v>3.08</v>
      </c>
      <c r="F6" s="112" t="n">
        <v>3.215</v>
      </c>
      <c r="G6" s="113" t="n">
        <v>19.44</v>
      </c>
      <c r="H6" s="114" t="n">
        <v>1</v>
      </c>
      <c r="I6" s="115" t="n">
        <v>0</v>
      </c>
      <c r="J6" s="116" t="n">
        <v>3</v>
      </c>
      <c r="K6" s="117" t="n">
        <v>1</v>
      </c>
    </row>
    <row r="7">
      <c r="A7" s="107" t="n">
        <v>18.7</v>
      </c>
      <c r="B7" s="108" t="n">
        <v>8</v>
      </c>
      <c r="C7" s="109" t="n">
        <v>360</v>
      </c>
      <c r="D7" s="110" t="n">
        <v>175</v>
      </c>
      <c r="E7" s="111" t="n">
        <v>3.15</v>
      </c>
      <c r="F7" s="112" t="n">
        <v>3.44</v>
      </c>
      <c r="G7" s="113" t="n">
        <v>17.02</v>
      </c>
      <c r="H7" s="114" t="n">
        <v>0</v>
      </c>
      <c r="I7" s="115" t="n">
        <v>0</v>
      </c>
      <c r="J7" s="116" t="n">
        <v>3</v>
      </c>
      <c r="K7" s="117" t="n">
        <v>2</v>
      </c>
    </row>
    <row r="8">
      <c r="A8" s="107" t="n">
        <v>18.1</v>
      </c>
      <c r="B8" s="108" t="n">
        <v>6</v>
      </c>
      <c r="C8" s="109" t="n">
        <v>225</v>
      </c>
      <c r="D8" s="110" t="n">
        <v>105</v>
      </c>
      <c r="E8" s="111" t="n">
        <v>2.76</v>
      </c>
      <c r="F8" s="112" t="n">
        <v>3.46</v>
      </c>
      <c r="G8" s="113" t="n">
        <v>20.22</v>
      </c>
      <c r="H8" s="114" t="n">
        <v>1</v>
      </c>
      <c r="I8" s="115" t="n">
        <v>0</v>
      </c>
      <c r="J8" s="116" t="n">
        <v>3</v>
      </c>
      <c r="K8" s="117" t="n">
        <v>1</v>
      </c>
    </row>
    <row r="9">
      <c r="A9" s="107" t="n">
        <v>14.3</v>
      </c>
      <c r="B9" s="108" t="n">
        <v>8</v>
      </c>
      <c r="C9" s="109" t="n">
        <v>360</v>
      </c>
      <c r="D9" s="110" t="n">
        <v>245</v>
      </c>
      <c r="E9" s="111" t="n">
        <v>3.21</v>
      </c>
      <c r="F9" s="112" t="n">
        <v>3.57</v>
      </c>
      <c r="G9" s="113" t="n">
        <v>15.84</v>
      </c>
      <c r="H9" s="114" t="n">
        <v>0</v>
      </c>
      <c r="I9" s="115" t="n">
        <v>0</v>
      </c>
      <c r="J9" s="116" t="n">
        <v>3</v>
      </c>
      <c r="K9" s="117" t="n">
        <v>4</v>
      </c>
    </row>
    <row r="10">
      <c r="A10" s="107" t="n">
        <v>24.4</v>
      </c>
      <c r="B10" s="108" t="n">
        <v>4</v>
      </c>
      <c r="C10" s="109" t="n">
        <v>146.7</v>
      </c>
      <c r="D10" s="110" t="n">
        <v>62</v>
      </c>
      <c r="E10" s="111" t="n">
        <v>3.69</v>
      </c>
      <c r="F10" s="112" t="n">
        <v>3.19</v>
      </c>
      <c r="G10" s="113" t="n">
        <v>20</v>
      </c>
      <c r="H10" s="114" t="n">
        <v>1</v>
      </c>
      <c r="I10" s="115" t="n">
        <v>0</v>
      </c>
      <c r="J10" s="116" t="n">
        <v>4</v>
      </c>
      <c r="K10" s="117" t="n">
        <v>2</v>
      </c>
    </row>
    <row r="11">
      <c r="A11" s="107" t="n">
        <v>22.8</v>
      </c>
      <c r="B11" s="108" t="n">
        <v>4</v>
      </c>
      <c r="C11" s="109" t="n">
        <v>140.8</v>
      </c>
      <c r="D11" s="110" t="n">
        <v>95</v>
      </c>
      <c r="E11" s="111" t="n">
        <v>3.92</v>
      </c>
      <c r="F11" s="112" t="n">
        <v>3.15</v>
      </c>
      <c r="G11" s="113" t="n">
        <v>22.9</v>
      </c>
      <c r="H11" s="114" t="n">
        <v>1</v>
      </c>
      <c r="I11" s="115" t="n">
        <v>0</v>
      </c>
      <c r="J11" s="116" t="n">
        <v>4</v>
      </c>
      <c r="K11" s="117" t="n">
        <v>2</v>
      </c>
    </row>
    <row r="12">
      <c r="A12" s="107" t="n">
        <v>19.2</v>
      </c>
      <c r="B12" s="108" t="n">
        <v>6</v>
      </c>
      <c r="C12" s="109" t="n">
        <v>167.6</v>
      </c>
      <c r="D12" s="110" t="n">
        <v>123</v>
      </c>
      <c r="E12" s="111" t="n">
        <v>3.92</v>
      </c>
      <c r="F12" s="112" t="n">
        <v>3.44</v>
      </c>
      <c r="G12" s="113" t="n">
        <v>18.3</v>
      </c>
      <c r="H12" s="114" t="n">
        <v>1</v>
      </c>
      <c r="I12" s="115" t="n">
        <v>0</v>
      </c>
      <c r="J12" s="116" t="n">
        <v>4</v>
      </c>
      <c r="K12" s="117" t="n">
        <v>4</v>
      </c>
    </row>
    <row r="13">
      <c r="A13" s="107" t="n">
        <v>17.8</v>
      </c>
      <c r="B13" s="108" t="n">
        <v>6</v>
      </c>
      <c r="C13" s="109" t="n">
        <v>167.6</v>
      </c>
      <c r="D13" s="110" t="n">
        <v>123</v>
      </c>
      <c r="E13" s="111" t="n">
        <v>3.92</v>
      </c>
      <c r="F13" s="112" t="n">
        <v>3.44</v>
      </c>
      <c r="G13" s="113" t="n">
        <v>18.9</v>
      </c>
      <c r="H13" s="114" t="n">
        <v>1</v>
      </c>
      <c r="I13" s="115" t="n">
        <v>0</v>
      </c>
      <c r="J13" s="116" t="n">
        <v>4</v>
      </c>
      <c r="K13" s="117" t="n">
        <v>4</v>
      </c>
    </row>
    <row r="14">
      <c r="A14" s="107" t="n">
        <v>16.4</v>
      </c>
      <c r="B14" s="108" t="n">
        <v>8</v>
      </c>
      <c r="C14" s="109" t="n">
        <v>275.8</v>
      </c>
      <c r="D14" s="110" t="n">
        <v>180</v>
      </c>
      <c r="E14" s="111" t="n">
        <v>3.07</v>
      </c>
      <c r="F14" s="112" t="n">
        <v>4.07</v>
      </c>
      <c r="G14" s="113" t="n">
        <v>17.4</v>
      </c>
      <c r="H14" s="114" t="n">
        <v>0</v>
      </c>
      <c r="I14" s="115" t="n">
        <v>0</v>
      </c>
      <c r="J14" s="116" t="n">
        <v>3</v>
      </c>
      <c r="K14" s="117" t="n">
        <v>3</v>
      </c>
    </row>
    <row r="15">
      <c r="A15" s="107" t="n">
        <v>17.3</v>
      </c>
      <c r="B15" s="108" t="n">
        <v>8</v>
      </c>
      <c r="C15" s="109" t="n">
        <v>275.8</v>
      </c>
      <c r="D15" s="110" t="n">
        <v>180</v>
      </c>
      <c r="E15" s="111" t="n">
        <v>3.07</v>
      </c>
      <c r="F15" s="112" t="n">
        <v>3.73</v>
      </c>
      <c r="G15" s="113" t="n">
        <v>17.6</v>
      </c>
      <c r="H15" s="114" t="n">
        <v>0</v>
      </c>
      <c r="I15" s="115" t="n">
        <v>0</v>
      </c>
      <c r="J15" s="116" t="n">
        <v>3</v>
      </c>
      <c r="K15" s="117" t="n">
        <v>3</v>
      </c>
    </row>
    <row r="16">
      <c r="A16" s="107" t="n">
        <v>15.2</v>
      </c>
      <c r="B16" s="108" t="n">
        <v>8</v>
      </c>
      <c r="C16" s="109" t="n">
        <v>275.8</v>
      </c>
      <c r="D16" s="110" t="n">
        <v>180</v>
      </c>
      <c r="E16" s="111" t="n">
        <v>3.07</v>
      </c>
      <c r="F16" s="112" t="n">
        <v>3.78</v>
      </c>
      <c r="G16" s="113" t="n">
        <v>18</v>
      </c>
      <c r="H16" s="114" t="n">
        <v>0</v>
      </c>
      <c r="I16" s="115" t="n">
        <v>0</v>
      </c>
      <c r="J16" s="116" t="n">
        <v>3</v>
      </c>
      <c r="K16" s="117" t="n">
        <v>3</v>
      </c>
    </row>
    <row r="17">
      <c r="A17" s="107" t="n">
        <v>10.4</v>
      </c>
      <c r="B17" s="108" t="n">
        <v>8</v>
      </c>
      <c r="C17" s="109" t="n">
        <v>472</v>
      </c>
      <c r="D17" s="110" t="n">
        <v>205</v>
      </c>
      <c r="E17" s="111" t="n">
        <v>2.93</v>
      </c>
      <c r="F17" s="112" t="n">
        <v>5.25</v>
      </c>
      <c r="G17" s="113" t="n">
        <v>17.98</v>
      </c>
      <c r="H17" s="114" t="n">
        <v>0</v>
      </c>
      <c r="I17" s="115" t="n">
        <v>0</v>
      </c>
      <c r="J17" s="116" t="n">
        <v>3</v>
      </c>
      <c r="K17" s="117" t="n">
        <v>4</v>
      </c>
    </row>
    <row r="18">
      <c r="A18" s="107" t="n">
        <v>10.4</v>
      </c>
      <c r="B18" s="108" t="n">
        <v>8</v>
      </c>
      <c r="C18" s="109" t="n">
        <v>460</v>
      </c>
      <c r="D18" s="110" t="n">
        <v>215</v>
      </c>
      <c r="E18" s="111" t="n">
        <v>3</v>
      </c>
      <c r="F18" s="112" t="n">
        <v>5.424</v>
      </c>
      <c r="G18" s="113" t="n">
        <v>17.82</v>
      </c>
      <c r="H18" s="114" t="n">
        <v>0</v>
      </c>
      <c r="I18" s="115" t="n">
        <v>0</v>
      </c>
      <c r="J18" s="116" t="n">
        <v>3</v>
      </c>
      <c r="K18" s="117" t="n">
        <v>4</v>
      </c>
    </row>
    <row r="19">
      <c r="A19" s="107" t="n">
        <v>14.7</v>
      </c>
      <c r="B19" s="108" t="n">
        <v>8</v>
      </c>
      <c r="C19" s="109" t="n">
        <v>440</v>
      </c>
      <c r="D19" s="110" t="n">
        <v>230</v>
      </c>
      <c r="E19" s="111" t="n">
        <v>3.23</v>
      </c>
      <c r="F19" s="112" t="n">
        <v>5.345</v>
      </c>
      <c r="G19" s="113" t="n">
        <v>17.42</v>
      </c>
      <c r="H19" s="114" t="n">
        <v>0</v>
      </c>
      <c r="I19" s="115" t="n">
        <v>0</v>
      </c>
      <c r="J19" s="116" t="n">
        <v>3</v>
      </c>
      <c r="K19" s="117" t="n">
        <v>4</v>
      </c>
    </row>
    <row r="20">
      <c r="A20" s="107" t="n">
        <v>32.4</v>
      </c>
      <c r="B20" s="108" t="n">
        <v>4</v>
      </c>
      <c r="C20" s="109" t="n">
        <v>78.7</v>
      </c>
      <c r="D20" s="110" t="n">
        <v>66</v>
      </c>
      <c r="E20" s="111" t="n">
        <v>4.08</v>
      </c>
      <c r="F20" s="112" t="n">
        <v>2.2</v>
      </c>
      <c r="G20" s="113" t="n">
        <v>19.47</v>
      </c>
      <c r="H20" s="114" t="n">
        <v>1</v>
      </c>
      <c r="I20" s="115" t="n">
        <v>1</v>
      </c>
      <c r="J20" s="116" t="n">
        <v>4</v>
      </c>
      <c r="K20" s="117" t="n">
        <v>1</v>
      </c>
    </row>
    <row r="21">
      <c r="A21" s="107" t="n">
        <v>30.4</v>
      </c>
      <c r="B21" s="108" t="n">
        <v>4</v>
      </c>
      <c r="C21" s="109" t="n">
        <v>75.7</v>
      </c>
      <c r="D21" s="110" t="n">
        <v>52</v>
      </c>
      <c r="E21" s="111" t="n">
        <v>4.93</v>
      </c>
      <c r="F21" s="112" t="n">
        <v>1.615</v>
      </c>
      <c r="G21" s="113" t="n">
        <v>18.52</v>
      </c>
      <c r="H21" s="114" t="n">
        <v>1</v>
      </c>
      <c r="I21" s="115" t="n">
        <v>1</v>
      </c>
      <c r="J21" s="116" t="n">
        <v>4</v>
      </c>
      <c r="K21" s="117" t="n">
        <v>2</v>
      </c>
    </row>
    <row r="22">
      <c r="A22" s="107" t="n">
        <v>33.9</v>
      </c>
      <c r="B22" s="108" t="n">
        <v>4</v>
      </c>
      <c r="C22" s="109" t="n">
        <v>71.1</v>
      </c>
      <c r="D22" s="110" t="n">
        <v>65</v>
      </c>
      <c r="E22" s="111" t="n">
        <v>4.22</v>
      </c>
      <c r="F22" s="112" t="n">
        <v>1.835</v>
      </c>
      <c r="G22" s="113" t="n">
        <v>19.9</v>
      </c>
      <c r="H22" s="114" t="n">
        <v>1</v>
      </c>
      <c r="I22" s="115" t="n">
        <v>1</v>
      </c>
      <c r="J22" s="116" t="n">
        <v>4</v>
      </c>
      <c r="K22" s="117" t="n">
        <v>1</v>
      </c>
    </row>
    <row r="23">
      <c r="A23" s="107" t="n">
        <v>21.5</v>
      </c>
      <c r="B23" s="108" t="n">
        <v>4</v>
      </c>
      <c r="C23" s="109" t="n">
        <v>120.1</v>
      </c>
      <c r="D23" s="110" t="n">
        <v>97</v>
      </c>
      <c r="E23" s="111" t="n">
        <v>3.7</v>
      </c>
      <c r="F23" s="112" t="n">
        <v>2.465</v>
      </c>
      <c r="G23" s="113" t="n">
        <v>20.01</v>
      </c>
      <c r="H23" s="114" t="n">
        <v>1</v>
      </c>
      <c r="I23" s="115" t="n">
        <v>0</v>
      </c>
      <c r="J23" s="116" t="n">
        <v>3</v>
      </c>
      <c r="K23" s="117" t="n">
        <v>1</v>
      </c>
    </row>
    <row r="24">
      <c r="A24" s="107" t="n">
        <v>15.5</v>
      </c>
      <c r="B24" s="108" t="n">
        <v>8</v>
      </c>
      <c r="C24" s="109" t="n">
        <v>318</v>
      </c>
      <c r="D24" s="110" t="n">
        <v>150</v>
      </c>
      <c r="E24" s="111" t="n">
        <v>2.76</v>
      </c>
      <c r="F24" s="112" t="n">
        <v>3.52</v>
      </c>
      <c r="G24" s="113" t="n">
        <v>16.87</v>
      </c>
      <c r="H24" s="114" t="n">
        <v>0</v>
      </c>
      <c r="I24" s="115" t="n">
        <v>0</v>
      </c>
      <c r="J24" s="116" t="n">
        <v>3</v>
      </c>
      <c r="K24" s="117" t="n">
        <v>2</v>
      </c>
    </row>
    <row r="25">
      <c r="A25" s="107" t="n">
        <v>15.2</v>
      </c>
      <c r="B25" s="108" t="n">
        <v>8</v>
      </c>
      <c r="C25" s="109" t="n">
        <v>304</v>
      </c>
      <c r="D25" s="110" t="n">
        <v>150</v>
      </c>
      <c r="E25" s="111" t="n">
        <v>3.15</v>
      </c>
      <c r="F25" s="112" t="n">
        <v>3.435</v>
      </c>
      <c r="G25" s="113" t="n">
        <v>17.3</v>
      </c>
      <c r="H25" s="114" t="n">
        <v>0</v>
      </c>
      <c r="I25" s="115" t="n">
        <v>0</v>
      </c>
      <c r="J25" s="116" t="n">
        <v>3</v>
      </c>
      <c r="K25" s="117" t="n">
        <v>2</v>
      </c>
    </row>
    <row r="26">
      <c r="A26" s="107" t="n">
        <v>13.3</v>
      </c>
      <c r="B26" s="108" t="n">
        <v>8</v>
      </c>
      <c r="C26" s="109" t="n">
        <v>350</v>
      </c>
      <c r="D26" s="110" t="n">
        <v>245</v>
      </c>
      <c r="E26" s="111" t="n">
        <v>3.73</v>
      </c>
      <c r="F26" s="112" t="n">
        <v>3.84</v>
      </c>
      <c r="G26" s="113" t="n">
        <v>15.41</v>
      </c>
      <c r="H26" s="114" t="n">
        <v>0</v>
      </c>
      <c r="I26" s="115" t="n">
        <v>0</v>
      </c>
      <c r="J26" s="116" t="n">
        <v>3</v>
      </c>
      <c r="K26" s="117" t="n">
        <v>4</v>
      </c>
    </row>
    <row r="27">
      <c r="A27" s="107" t="n">
        <v>19.2</v>
      </c>
      <c r="B27" s="108" t="n">
        <v>8</v>
      </c>
      <c r="C27" s="109" t="n">
        <v>400</v>
      </c>
      <c r="D27" s="110" t="n">
        <v>175</v>
      </c>
      <c r="E27" s="111" t="n">
        <v>3.08</v>
      </c>
      <c r="F27" s="112" t="n">
        <v>3.845</v>
      </c>
      <c r="G27" s="113" t="n">
        <v>17.05</v>
      </c>
      <c r="H27" s="114" t="n">
        <v>0</v>
      </c>
      <c r="I27" s="115" t="n">
        <v>0</v>
      </c>
      <c r="J27" s="116" t="n">
        <v>3</v>
      </c>
      <c r="K27" s="117" t="n">
        <v>2</v>
      </c>
    </row>
    <row r="28">
      <c r="A28" s="107" t="n">
        <v>27.3</v>
      </c>
      <c r="B28" s="108" t="n">
        <v>4</v>
      </c>
      <c r="C28" s="109" t="n">
        <v>79</v>
      </c>
      <c r="D28" s="110" t="n">
        <v>66</v>
      </c>
      <c r="E28" s="111" t="n">
        <v>4.08</v>
      </c>
      <c r="F28" s="112" t="n">
        <v>1.935</v>
      </c>
      <c r="G28" s="113" t="n">
        <v>18.9</v>
      </c>
      <c r="H28" s="114" t="n">
        <v>1</v>
      </c>
      <c r="I28" s="115" t="n">
        <v>1</v>
      </c>
      <c r="J28" s="116" t="n">
        <v>4</v>
      </c>
      <c r="K28" s="117" t="n">
        <v>1</v>
      </c>
    </row>
    <row r="29">
      <c r="A29" s="107" t="n">
        <v>26</v>
      </c>
      <c r="B29" s="108" t="n">
        <v>4</v>
      </c>
      <c r="C29" s="109" t="n">
        <v>120.3</v>
      </c>
      <c r="D29" s="110" t="n">
        <v>91</v>
      </c>
      <c r="E29" s="111" t="n">
        <v>4.43</v>
      </c>
      <c r="F29" s="112" t="n">
        <v>2.14</v>
      </c>
      <c r="G29" s="113" t="n">
        <v>16.7</v>
      </c>
      <c r="H29" s="114" t="n">
        <v>0</v>
      </c>
      <c r="I29" s="115" t="n">
        <v>1</v>
      </c>
      <c r="J29" s="116" t="n">
        <v>5</v>
      </c>
      <c r="K29" s="117" t="n">
        <v>2</v>
      </c>
    </row>
    <row r="30">
      <c r="A30" s="107" t="n">
        <v>30.4</v>
      </c>
      <c r="B30" s="108" t="n">
        <v>4</v>
      </c>
      <c r="C30" s="109" t="n">
        <v>95.1</v>
      </c>
      <c r="D30" s="110" t="n">
        <v>113</v>
      </c>
      <c r="E30" s="111" t="n">
        <v>3.77</v>
      </c>
      <c r="F30" s="112" t="n">
        <v>1.513</v>
      </c>
      <c r="G30" s="113" t="n">
        <v>16.9</v>
      </c>
      <c r="H30" s="114" t="n">
        <v>1</v>
      </c>
      <c r="I30" s="115" t="n">
        <v>1</v>
      </c>
      <c r="J30" s="116" t="n">
        <v>5</v>
      </c>
      <c r="K30" s="117" t="n">
        <v>2</v>
      </c>
    </row>
    <row r="31">
      <c r="A31" s="107" t="n">
        <v>15.8</v>
      </c>
      <c r="B31" s="108" t="n">
        <v>8</v>
      </c>
      <c r="C31" s="109" t="n">
        <v>351</v>
      </c>
      <c r="D31" s="110" t="n">
        <v>264</v>
      </c>
      <c r="E31" s="111" t="n">
        <v>4.22</v>
      </c>
      <c r="F31" s="112" t="n">
        <v>3.17</v>
      </c>
      <c r="G31" s="113" t="n">
        <v>14.5</v>
      </c>
      <c r="H31" s="114" t="n">
        <v>0</v>
      </c>
      <c r="I31" s="115" t="n">
        <v>1</v>
      </c>
      <c r="J31" s="116" t="n">
        <v>5</v>
      </c>
      <c r="K31" s="117" t="n">
        <v>4</v>
      </c>
    </row>
    <row r="32">
      <c r="A32" s="107" t="n">
        <v>19.7</v>
      </c>
      <c r="B32" s="108" t="n">
        <v>6</v>
      </c>
      <c r="C32" s="109" t="n">
        <v>145</v>
      </c>
      <c r="D32" s="110" t="n">
        <v>175</v>
      </c>
      <c r="E32" s="111" t="n">
        <v>3.62</v>
      </c>
      <c r="F32" s="112" t="n">
        <v>2.77</v>
      </c>
      <c r="G32" s="113" t="n">
        <v>15.5</v>
      </c>
      <c r="H32" s="114" t="n">
        <v>0</v>
      </c>
      <c r="I32" s="115" t="n">
        <v>1</v>
      </c>
      <c r="J32" s="116" t="n">
        <v>5</v>
      </c>
      <c r="K32" s="117" t="n">
        <v>6</v>
      </c>
    </row>
    <row r="33">
      <c r="A33" s="107" t="n">
        <v>15</v>
      </c>
      <c r="B33" s="108" t="n">
        <v>8</v>
      </c>
      <c r="C33" s="109" t="n">
        <v>301</v>
      </c>
      <c r="D33" s="110" t="n">
        <v>335</v>
      </c>
      <c r="E33" s="111" t="n">
        <v>3.54</v>
      </c>
      <c r="F33" s="112" t="n">
        <v>3.57</v>
      </c>
      <c r="G33" s="113" t="n">
        <v>14.6</v>
      </c>
      <c r="H33" s="114" t="n">
        <v>0</v>
      </c>
      <c r="I33" s="115" t="n">
        <v>1</v>
      </c>
      <c r="J33" s="116" t="n">
        <v>5</v>
      </c>
      <c r="K33" s="117" t="n">
        <v>8</v>
      </c>
    </row>
    <row r="34">
      <c r="A34" s="129" t="n">
        <v>21.4</v>
      </c>
      <c r="B34" s="130" t="n">
        <v>4</v>
      </c>
      <c r="C34" s="131" t="n">
        <v>121</v>
      </c>
      <c r="D34" s="132" t="n">
        <v>109</v>
      </c>
      <c r="E34" s="133" t="n">
        <v>4.11</v>
      </c>
      <c r="F34" s="134" t="n">
        <v>2.78</v>
      </c>
      <c r="G34" s="135" t="n">
        <v>18.6</v>
      </c>
      <c r="H34" s="136" t="n">
        <v>1</v>
      </c>
      <c r="I34" s="137" t="n">
        <v>1</v>
      </c>
      <c r="J34" s="138" t="n">
        <v>4</v>
      </c>
      <c r="K34" s="139" t="n">
        <v>2</v>
      </c>
    </row>
    <row r="35">
      <c r="A35" s="5" t="s">
        <v>14</v>
      </c>
      <c r="B35" s="108"/>
      <c r="C35" s="109"/>
      <c r="D35" s="110"/>
      <c r="E35" s="111"/>
      <c r="F35" s="112"/>
      <c r="G35" s="113"/>
      <c r="H35" s="114"/>
      <c r="I35" s="115"/>
      <c r="J35" s="116"/>
      <c r="K35" s="117"/>
    </row>
    <row r="36">
      <c r="A36" s="37" t="str">
        <f>=HYPERLINK("#'Table of Contents'!A1", "TOC")</f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</cols>
  <sheetData>
    <row r="1">
      <c r="A1" s="38"/>
    </row>
    <row r="2">
      <c r="A2" s="39" t="str">
        <f>=HYPERLINK("#'Test sheet'!A1", "Test sheet")</f>
      </c>
      <c r="B2" t="s">
        <v>11</v>
      </c>
    </row>
    <row r="3">
      <c r="A3" s="39" t="str">
        <f>=HYPERLINK("#'Test 1 - no footnote title'!A1", "Test 1 - no footnote title")</f>
      </c>
      <c r="B3"/>
    </row>
    <row r="4">
      <c r="A4" s="39" t="str">
        <f>=HYPERLINK("#'Test 2 - no Footnote'!A1", "Test 2 - no Footnote")</f>
      </c>
      <c r="B4" t="s">
        <v>13</v>
      </c>
    </row>
    <row r="5">
      <c r="A5" s="39" t="str">
        <f>=HYPERLINK("#'Test 3 - all'!A1", "Test 3 - all")</f>
      </c>
      <c r="B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nichi</dc:creator>
  <cp:lastModifiedBy>nichi</cp:lastModifiedBy>
  <dcterms:created xsi:type="dcterms:W3CDTF">2024-11-09T21:33:16Z</dcterms:created>
</coreProperties>
</file>